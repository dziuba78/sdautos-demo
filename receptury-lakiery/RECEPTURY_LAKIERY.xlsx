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" sheetId="1" state="visible" r:id="rId1"/>
    <sheet xmlns:r="http://schemas.openxmlformats.org/officeDocument/2006/relationships" name="RECEPTURA_ORYGINALNA" sheetId="2" state="visible" r:id="rId2"/>
    <sheet xmlns:r="http://schemas.openxmlformats.org/officeDocument/2006/relationships" name="RECEPTURA_WLASNA" sheetId="3" state="visible" r:id="rId3"/>
    <sheet xmlns:r="http://schemas.openxmlformats.org/officeDocument/2006/relationships" name="ANALIZA" sheetId="4" state="visible" r:id="rId4"/>
    <sheet xmlns:r="http://schemas.openxmlformats.org/officeDocument/2006/relationships" name="RAPORT" sheetId="5" state="visible" r:id="rId5"/>
    <sheet xmlns:r="http://schemas.openxmlformats.org/officeDocument/2006/relationships" name="HISTORIA" sheetId="6" state="visible" r:id="rId6"/>
    <sheet xmlns:r="http://schemas.openxmlformats.org/officeDocument/2006/relationships" name="DOBARWIANIE" sheetId="7" state="visible" r:id="rId7"/>
    <sheet xmlns:r="http://schemas.openxmlformats.org/officeDocument/2006/relationships" name="BAZA_AUTOCOLOR" sheetId="8" state="visible" r:id="rId8"/>
    <sheet xmlns:r="http://schemas.openxmlformats.org/officeDocument/2006/relationships" name="BAZA_DUXONE" sheetId="9" state="visible" r:id="rId9"/>
    <sheet xmlns:r="http://schemas.openxmlformats.org/officeDocument/2006/relationships" name="PIGMENTY" sheetId="10" state="visible" r:id="rId10"/>
    <sheet xmlns:r="http://schemas.openxmlformats.org/officeDocument/2006/relationships" name="USTAWIENIA" sheetId="11" state="visible" r:id="rId11"/>
    <sheet xmlns:r="http://schemas.openxmlformats.org/officeDocument/2006/relationships" name="HISTORIA_POZYCJE" sheetId="12" state="visible" r:id="rId12"/>
    <sheet xmlns:r="http://schemas.openxmlformats.org/officeDocument/2006/relationships" name="DANE_WYKRESOW" sheetId="13" state="hidden" r:id="rId13"/>
    <sheet xmlns:r="http://schemas.openxmlformats.org/officeDocument/2006/relationships" name="LISTY" sheetId="14" state="hidden" r:id="rId14"/>
  </sheets>
  <definedNames>
    <definedName name="Ust_Autor">USTAWIENIA!$B$8</definedName>
    <definedName name="Ust_Jednostka">USTAWIENIA!$B$9</definedName>
    <definedName name="Ust_Tolerancja">USTAWIENIA!$B$10</definedName>
    <definedName name="Lista_Systemow">LISTY!$A$9:$A$10</definedName>
    <definedName name="Lista_AUTOCOLOR">LISTY!$F$9:$F$115</definedName>
    <definedName name="Lista_DUXONE">LISTY!$H$9:$H$87</definedName>
    <definedName name="ListaAC">LISTY!$F$9:$F$115</definedName>
    <definedName name="ListaDX">LISTY!$H$9:$H$87</definedName>
    <definedName name="ListaAC_NR">LISTY!$E$9:$E$115</definedName>
    <definedName name="ListaDX_NR">LISTY!$G$9:$G$87</definedName>
    <definedName name="PigmentyKlucz">PIGMENTY!$A$9:$I$194</definedName>
    <definedName name="Meta_Nazwa">START!$C$5</definedName>
    <definedName name="Meta_Numer">START!$C$6</definedName>
    <definedName name="Meta_Kolor">START!$C$7</definedName>
    <definedName name="Meta_Kod">START!$C$8</definedName>
    <definedName name="Meta_Producent">START!$C$9</definedName>
    <definedName name="Meta_System">START!$C$10</definedName>
    <definedName name="Meta_Wersja">START!$C$11</definedName>
    <definedName name="Meta_Autor">START!$C$12</definedName>
    <definedName name="Meta_Data">START!$C$13</definedName>
    <definedName name="Meta_Uwagi">START!$C$14</definedName>
    <definedName name="MasaDocelowa">START!$C$15</definedName>
    <definedName name="MasaOryg">START!$I$5</definedName>
    <definedName name="MasaWlasna">START!$I$6</definedName>
    <definedName name="StatusUdzialow">START!$I$11</definedName>
    <definedName name="_xlnm._FilterDatabase" localSheetId="1" hidden="1">'RECEPTURA_ORYGINALNA'!$A$11:$J$51</definedName>
    <definedName name="_xlnm._FilterDatabase" localSheetId="2" hidden="1">'RECEPTURA_WLASNA'!$A$11:$P$51</definedName>
    <definedName name="_xlnm.Print_Titles" localSheetId="4">'RAPORT'!$1:$2</definedName>
    <definedName name="_xlnm._FilterDatabase" localSheetId="5" hidden="1">'HISTORIA'!$A$8:$L$208</definedName>
    <definedName name="_xlnm._FilterDatabase" localSheetId="7" hidden="1">'BAZA_AUTOCOLOR'!$A$8:$S$115</definedName>
    <definedName name="_xlnm._FilterDatabase" localSheetId="8" hidden="1">'BAZA_DUXONE'!$A$8:$S$87</definedName>
    <definedName name="_xlnm._FilterDatabase" localSheetId="9" hidden="1">'PIGMENTY'!$A$8:$N$194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DD.MM.YYYY"/>
    <numFmt numFmtId="165" formatCode="0.000"/>
    <numFmt numFmtId="166" formatCode="0.0000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1B2A4A"/>
      <sz val="10"/>
    </font>
    <font>
      <name val="Calibri"/>
      <b val="1"/>
      <color rgb="00FFFFFF"/>
      <sz val="11"/>
    </font>
    <font>
      <name val="Calibri"/>
      <color rgb="00222222"/>
      <sz val="10"/>
    </font>
    <font>
      <name val="Calibri"/>
      <b val="1"/>
      <color rgb="001B2A4A"/>
      <sz val="10"/>
    </font>
    <font>
      <name val="Calibri"/>
      <b val="1"/>
      <color rgb="00FFFFFF"/>
      <sz val="12"/>
    </font>
    <font>
      <name val="Calibri"/>
      <b val="1"/>
      <color rgb="001B2A4A"/>
      <sz val="11"/>
    </font>
    <font>
      <name val="Calibri"/>
      <b val="1"/>
      <color rgb="001F4E79"/>
      <sz val="10"/>
      <u val="single"/>
    </font>
    <font>
      <name val="Calibri"/>
      <b val="1"/>
      <sz val="10"/>
    </font>
  </fonts>
  <fills count="12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EEF1F6"/>
      </patternFill>
    </fill>
    <fill>
      <patternFill patternType="solid">
        <fgColor rgb="00243656"/>
      </patternFill>
    </fill>
    <fill>
      <patternFill patternType="solid">
        <fgColor rgb="00FFFFFF"/>
      </patternFill>
    </fill>
    <fill>
      <patternFill patternType="solid">
        <fgColor rgb="00FFE699"/>
      </patternFill>
    </fill>
    <fill>
      <patternFill patternType="solid">
        <fgColor rgb="00D6EAF8"/>
      </patternFill>
    </fill>
    <fill>
      <patternFill patternType="solid">
        <fgColor rgb="00FCE4D6"/>
      </patternFill>
    </fill>
    <fill>
      <patternFill patternType="solid">
        <fgColor rgb="00F3F5F8"/>
      </patternFill>
    </fill>
    <fill>
      <patternFill patternType="solid">
        <fgColor rgb="00FFF4D0"/>
      </patternFill>
    </fill>
    <fill>
      <patternFill patternType="solid">
        <fgColor rgb="00C4A35A"/>
      </patternFill>
    </fill>
  </fills>
  <borders count="11">
    <border>
      <left/>
      <right/>
      <top/>
      <bottom/>
      <diagonal/>
    </border>
    <border>
      <left style="thin">
        <color rgb="00C5CDD6"/>
      </left>
      <right style="thin">
        <color rgb="00C5CDD6"/>
      </right>
      <top style="thin">
        <color rgb="00C5CDD6"/>
      </top>
      <bottom style="thin">
        <color rgb="00C5CDD6"/>
      </bottom>
    </border>
    <border>
      <left/>
      <right/>
      <top style="thin">
        <color rgb="00C5CDD6"/>
      </top>
      <bottom/>
      <diagonal/>
    </border>
    <border>
      <left/>
      <right style="thin">
        <color rgb="00C5CDD6"/>
      </right>
      <top style="thin">
        <color rgb="00C5CDD6"/>
      </top>
      <bottom/>
      <diagonal/>
    </border>
    <border>
      <left/>
      <right/>
      <top style="thin">
        <color rgb="00C5CDD6"/>
      </top>
      <bottom style="thin">
        <color rgb="00C5CDD6"/>
      </bottom>
      <diagonal/>
    </border>
    <border>
      <left/>
      <right style="thin">
        <color rgb="00C5CDD6"/>
      </right>
      <top style="thin">
        <color rgb="00C5CDD6"/>
      </top>
      <bottom style="thin">
        <color rgb="00C5CDD6"/>
      </bottom>
      <diagonal/>
    </border>
    <border>
      <left style="thin">
        <color rgb="00C5CDD6"/>
      </left>
      <right/>
      <top/>
      <bottom/>
      <diagonal/>
    </border>
    <border>
      <left/>
      <right style="thin">
        <color rgb="00C5CDD6"/>
      </right>
      <top/>
      <bottom/>
      <diagonal/>
    </border>
    <border>
      <left style="thin">
        <color rgb="00C5CDD6"/>
      </left>
      <right/>
      <top/>
      <bottom style="thin">
        <color rgb="00C5CDD6"/>
      </bottom>
      <diagonal/>
    </border>
    <border>
      <left/>
      <right/>
      <top/>
      <bottom style="thin">
        <color rgb="00C5CDD6"/>
      </bottom>
      <diagonal/>
    </border>
    <border>
      <left/>
      <right style="thin">
        <color rgb="00C5CDD6"/>
      </right>
      <top/>
      <bottom style="thin">
        <color rgb="00C5CDD6"/>
      </bottom>
      <diagonal/>
    </border>
  </borders>
  <cellStyleXfs count="1">
    <xf numFmtId="0" fontId="0" fillId="0" borderId="0"/>
  </cellStyleXfs>
  <cellXfs count="55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2" fillId="3" borderId="0" pivotButton="0" quotePrefix="0" xfId="0"/>
    <xf numFmtId="0" fontId="0" fillId="3" borderId="0" pivotButton="0" quotePrefix="0" xfId="0"/>
    <xf numFmtId="0" fontId="6" fillId="4" borderId="0" pivotButton="0" quotePrefix="0" xfId="0"/>
    <xf numFmtId="0" fontId="0" fillId="4" borderId="0" pivotButton="0" quotePrefix="0" xfId="0"/>
    <xf numFmtId="0" fontId="5" fillId="3" borderId="0" pivotButton="0" quotePrefix="0" xfId="0"/>
    <xf numFmtId="0" fontId="4" fillId="10" borderId="1" applyAlignment="1" applyProtection="1" pivotButton="0" quotePrefix="0" xfId="0">
      <alignment horizontal="left" vertical="center"/>
      <protection locked="0" hidden="0"/>
    </xf>
    <xf numFmtId="0" fontId="0" fillId="0" borderId="4" applyProtection="1" pivotButton="0" quotePrefix="0" xfId="0">
      <protection locked="0" hidden="0"/>
    </xf>
    <xf numFmtId="0" fontId="0" fillId="0" borderId="5" applyProtection="1" pivotButton="0" quotePrefix="0" xfId="0">
      <protection locked="0" hidden="0"/>
    </xf>
    <xf numFmtId="2" fontId="4" fillId="9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4" fillId="9" borderId="1" pivotButton="0" quotePrefix="0" xfId="0"/>
    <xf numFmtId="10" fontId="4" fillId="9" borderId="1" pivotButton="0" quotePrefix="0" xfId="0"/>
    <xf numFmtId="1" fontId="4" fillId="10" borderId="1" applyAlignment="1" applyProtection="1" pivotButton="0" quotePrefix="0" xfId="0">
      <alignment horizontal="left" vertical="center"/>
      <protection locked="0" hidden="0"/>
    </xf>
    <xf numFmtId="164" fontId="4" fillId="10" borderId="1" applyAlignment="1" applyProtection="1" pivotButton="0" quotePrefix="0" xfId="0">
      <alignment horizontal="left" vertical="center"/>
      <protection locked="0" hidden="0"/>
    </xf>
    <xf numFmtId="2" fontId="4" fillId="10" borderId="1" applyAlignment="1" applyProtection="1" pivotButton="0" quotePrefix="0" xfId="0">
      <alignment horizontal="left" vertical="center"/>
      <protection locked="0" hidden="0"/>
    </xf>
    <xf numFmtId="0" fontId="7" fillId="10" borderId="0" pivotButton="0" quotePrefix="0" xfId="0"/>
    <xf numFmtId="0" fontId="0" fillId="0" borderId="1" applyAlignment="1" pivotButton="0" quotePrefix="0" xfId="0">
      <alignment horizontal="left" vertical="center" wrapText="1"/>
    </xf>
    <xf numFmtId="0" fontId="8" fillId="7" borderId="1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top" wrapText="1"/>
    </xf>
    <xf numFmtId="164" fontId="4" fillId="9" borderId="1" pivotButton="0" quotePrefix="0" xfId="0"/>
    <xf numFmtId="0" fontId="0" fillId="11" borderId="0" pivotButton="0" quotePrefix="0" xfId="0"/>
    <xf numFmtId="0" fontId="0" fillId="0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10" borderId="1" applyAlignment="1" applyProtection="1" pivotButton="0" quotePrefix="0" xfId="0">
      <alignment horizontal="center" vertical="center" wrapText="1"/>
      <protection locked="0" hidden="0"/>
    </xf>
    <xf numFmtId="165" fontId="4" fillId="10" borderId="1" applyAlignment="1" applyProtection="1" pivotButton="0" quotePrefix="0" xfId="0">
      <alignment horizontal="center" vertical="center" wrapText="1"/>
      <protection locked="0" hidden="0"/>
    </xf>
    <xf numFmtId="166" fontId="4" fillId="9" borderId="1" pivotButton="0" quotePrefix="0" xfId="0"/>
    <xf numFmtId="165" fontId="4" fillId="9" borderId="1" pivotButton="0" quotePrefix="0" xfId="0"/>
    <xf numFmtId="165" fontId="4" fillId="10" borderId="1" applyAlignment="1" applyProtection="1" pivotButton="0" quotePrefix="0" xfId="0">
      <alignment horizontal="left" vertical="center"/>
      <protection locked="0" hidden="0"/>
    </xf>
    <xf numFmtId="0" fontId="4" fillId="9" borderId="1" applyAlignment="1" pivotButton="0" quotePrefix="0" xfId="0">
      <alignment horizontal="center" vertical="center" wrapText="1"/>
    </xf>
    <xf numFmtId="1" fontId="4" fillId="9" borderId="1" pivotButton="0" quotePrefix="0" xfId="0"/>
    <xf numFmtId="0" fontId="5" fillId="0" borderId="0" pivotButton="0" quotePrefix="0" xfId="0"/>
    <xf numFmtId="0" fontId="4" fillId="7" borderId="1" applyAlignment="1" pivotButton="0" quotePrefix="0" xfId="0">
      <alignment horizontal="left" vertical="center"/>
    </xf>
    <xf numFmtId="164" fontId="4" fillId="7" borderId="1" applyAlignment="1" pivotButton="0" quotePrefix="0" xfId="0">
      <alignment horizontal="left" vertical="center"/>
    </xf>
    <xf numFmtId="2" fontId="4" fillId="7" borderId="1" applyAlignment="1" pivotButton="0" quotePrefix="0" xfId="0">
      <alignment horizontal="left" vertical="center"/>
    </xf>
    <xf numFmtId="0" fontId="4" fillId="9" borderId="1" applyAlignment="1" pivotButton="0" quotePrefix="0" xfId="0">
      <alignment vertical="top" wrapText="1"/>
    </xf>
    <xf numFmtId="0" fontId="0" fillId="0" borderId="2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9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5" borderId="1" applyAlignment="1" pivotButton="0" quotePrefix="0" xfId="0">
      <alignment vertical="center" wrapText="1"/>
    </xf>
    <xf numFmtId="0" fontId="4" fillId="6" borderId="1" applyAlignment="1" pivotButton="0" quotePrefix="0" xfId="0">
      <alignment vertical="center" wrapText="1"/>
    </xf>
    <xf numFmtId="0" fontId="4" fillId="7" borderId="1" applyAlignment="1" pivotButton="0" quotePrefix="0" xfId="0">
      <alignment vertical="center" wrapText="1"/>
    </xf>
    <xf numFmtId="0" fontId="4" fillId="8" borderId="1" applyAlignment="1" pivotButton="0" quotePrefix="0" xfId="0">
      <alignment vertical="center" wrapText="1"/>
    </xf>
    <xf numFmtId="0" fontId="4" fillId="9" borderId="1" applyAlignment="1" pivotButton="0" quotePrefix="0" xfId="0">
      <alignment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dxfs count="7">
    <dxf>
      <font>
        <name val="Calibri"/>
        <b val="1"/>
        <color rgb="009C0006"/>
        <sz val="10"/>
      </font>
      <fill>
        <patternFill patternType="solid">
          <fgColor rgb="00F4CCCC"/>
        </patternFill>
      </fill>
    </dxf>
    <dxf>
      <font>
        <name val="Calibri"/>
        <b val="1"/>
        <color rgb="00006100"/>
        <sz val="10"/>
      </font>
      <fill>
        <patternFill patternType="solid">
          <fgColor rgb="00C6EFCE"/>
        </patternFill>
      </fill>
    </dxf>
    <dxf>
      <font>
        <b val="1"/>
        <color rgb="009C5700"/>
      </font>
      <fill>
        <patternFill patternType="solid">
          <fgColor rgb="00FFE699"/>
        </patternFill>
      </fill>
    </dxf>
    <dxf>
      <font>
        <b val="1"/>
        <color rgb="009C0006"/>
      </font>
      <fill>
        <patternFill patternType="solid">
          <fgColor rgb="00F4CCCC"/>
        </patternFill>
      </fill>
    </dxf>
    <dxf>
      <font>
        <name val="Calibri"/>
        <b val="1"/>
        <color rgb="00333333"/>
        <sz val="10"/>
      </font>
      <fill>
        <patternFill patternType="solid">
          <fgColor rgb="00E8E8E8"/>
        </patternFill>
      </fill>
    </dxf>
    <dxf>
      <font>
        <name val="Calibri"/>
        <b val="1"/>
        <color rgb="009C5700"/>
        <sz val="10"/>
      </font>
      <fill>
        <patternFill patternType="solid">
          <fgColor rgb="00FFE699"/>
        </patternFill>
      </fill>
    </dxf>
    <dxf>
      <font>
        <name val="Calibri"/>
        <b val="1"/>
        <color rgb="001F4E79"/>
        <sz val="10"/>
      </font>
      <fill>
        <patternFill patternType="solid">
          <fgColor rgb="00D6EAF8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Oryginał vs receptura własna (g)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'DANE_WYKRESOW'!B8</f>
            </strRef>
          </tx>
          <spPr>
            <a:ln xmlns:a="http://schemas.openxmlformats.org/drawingml/2006/main">
              <a:prstDash val="solid"/>
            </a:ln>
          </spPr>
          <cat>
            <numRef>
              <f>'DANE_WYKRESOW'!$A$9:$A$48</f>
            </numRef>
          </cat>
          <val>
            <numRef>
              <f>'DANE_WYKRESOW'!$B$9:$B$48</f>
            </numRef>
          </val>
        </ser>
        <ser>
          <idx val="1"/>
          <order val="1"/>
          <tx>
            <strRef>
              <f>'DANE_WYKRESOW'!C8</f>
            </strRef>
          </tx>
          <spPr>
            <a:ln xmlns:a="http://schemas.openxmlformats.org/drawingml/2006/main">
              <a:prstDash val="solid"/>
            </a:ln>
          </spPr>
          <cat>
            <numRef>
              <f>'DANE_WYKRESOW'!$A$9:$A$48</f>
            </numRef>
          </cat>
          <val>
            <numRef>
              <f>'DANE_WYKRESOW'!$C$9:$C$48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Pigment (system)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Ilość (g)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Zmiana procentowa ilości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'DANE_WYKRESOW'!D8</f>
            </strRef>
          </tx>
          <spPr>
            <a:ln xmlns:a="http://schemas.openxmlformats.org/drawingml/2006/main">
              <a:prstDash val="solid"/>
            </a:ln>
          </spPr>
          <cat>
            <numRef>
              <f>'DANE_WYKRESOW'!$A$9:$A$48</f>
            </numRef>
          </cat>
          <val>
            <numRef>
              <f>'DANE_WYKRESOW'!$D$9:$D$48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Pigment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Zmiana %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Skład receptury własnej (%)</a:t>
            </a:r>
          </a:p>
        </rich>
      </tx>
    </title>
    <plotArea>
      <pieChart>
        <varyColors val="1"/>
        <ser>
          <idx val="0"/>
          <order val="0"/>
          <tx>
            <strRef>
              <f>'DANE_WYKRESOW'!E8</f>
            </strRef>
          </tx>
          <spPr>
            <a:ln xmlns:a="http://schemas.openxmlformats.org/drawingml/2006/main">
              <a:prstDash val="solid"/>
            </a:ln>
          </spPr>
          <cat>
            <numRef>
              <f>'DANE_WYKRESOW'!$A$9:$A$48</f>
            </numRef>
          </cat>
          <val>
            <numRef>
              <f>'DANE_WYKRESOW'!$E$9:$E$48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Dodane / usunięte / zmienione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'DANE_WYKRESOW'!I8</f>
            </strRef>
          </tx>
          <spPr>
            <a:ln xmlns:a="http://schemas.openxmlformats.org/drawingml/2006/main">
              <a:prstDash val="solid"/>
            </a:ln>
          </spPr>
          <cat>
            <numRef>
              <f>'DANE_WYKRESOW'!$H$9:$H$13</f>
            </numRef>
          </cat>
          <val>
            <numRef>
              <f>'DANE_WYKRESOW'!$I$9:$I$13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Liczba pigmentów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3</col>
      <colOff>0</colOff>
      <row>6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22</row>
      <rowOff>0</rowOff>
    </from>
    <ext cx="648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3</col>
      <colOff>0</colOff>
      <row>38</row>
      <rowOff>0</rowOff>
    </from>
    <ext cx="504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0</col>
      <colOff>0</colOff>
      <row>22</row>
      <rowOff>0</rowOff>
    </from>
    <ext cx="504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RECEPTURA_ORYGINALNA!A1" TargetMode="External" Id="rId1"/><Relationship Type="http://schemas.openxmlformats.org/officeDocument/2006/relationships/hyperlink" Target="#RECEPTURA_WLASNA!A1" TargetMode="External" Id="rId2"/><Relationship Type="http://schemas.openxmlformats.org/officeDocument/2006/relationships/hyperlink" Target="#ANALIZA!A1" TargetMode="External" Id="rId3"/><Relationship Type="http://schemas.openxmlformats.org/officeDocument/2006/relationships/hyperlink" Target="#RAPORT!A1" TargetMode="External" Id="rId4"/><Relationship Type="http://schemas.openxmlformats.org/officeDocument/2006/relationships/hyperlink" Target="#HISTORIA!A1" TargetMode="External" Id="rId5"/><Relationship Type="http://schemas.openxmlformats.org/officeDocument/2006/relationships/hyperlink" Target="#PIGMENTY!A1" TargetMode="External" Id="rId6"/><Relationship Type="http://schemas.openxmlformats.org/officeDocument/2006/relationships/hyperlink" Target="#DOBARWIANIE!A1" TargetMode="External" Id="rId7"/><Relationship Type="http://schemas.openxmlformats.org/officeDocument/2006/relationships/hyperlink" Target="#BAZA_AUTOCOLOR!A1" TargetMode="External" Id="rId8"/><Relationship Type="http://schemas.openxmlformats.org/officeDocument/2006/relationships/hyperlink" Target="#BAZA_DUXONE!A1" TargetMode="External" Id="rId9"/><Relationship Type="http://schemas.openxmlformats.org/officeDocument/2006/relationships/hyperlink" Target="#USTAWIENIA!A1" TargetMode="External" Id="rId10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selection activeCell="A1" sqref="A1"/>
    </sheetView>
  </sheetViews>
  <sheetFormatPr baseColWidth="8" defaultRowHeight="15"/>
  <cols>
    <col width="26" customWidth="1" min="1" max="1"/>
    <col width="4" customWidth="1" min="2" max="2"/>
    <col width="28" customWidth="1" min="3" max="3"/>
    <col width="14" customWidth="1" min="4" max="4"/>
    <col width="22" customWidth="1" min="5" max="5"/>
    <col width="16" customWidth="1" min="6" max="6"/>
    <col width="4" customWidth="1" min="7" max="7"/>
    <col width="26" customWidth="1" min="8" max="8"/>
    <col width="16" customWidth="1" min="9" max="9"/>
    <col width="16" customWidth="1" min="10" max="10"/>
    <col width="18" customWidth="1" min="11" max="11"/>
    <col width="18" customWidth="1" min="12" max="12"/>
  </cols>
  <sheetData>
    <row r="1" ht="28" customHeight="1">
      <c r="A1" s="1" t="inlineStr">
        <is>
          <t>SYSTEM RECEPTUR LAKIERÓW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</row>
    <row r="2" ht="18" customHeight="1">
      <c r="A2" s="3" t="inlineStr">
        <is>
          <t>AUTOCOLOR  +  DUXONE  |  receptura oryginalna  →  receptura własna  →  analiza  |  LibreOffice Calc / Excel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</row>
    <row r="4">
      <c r="A4" s="5" t="inlineStr">
        <is>
          <t>IDENTYFIKACJA RECEPTURY</t>
        </is>
      </c>
      <c r="C4" s="6" t="n"/>
      <c r="H4" s="5" t="inlineStr">
        <is>
          <t>AKTUALNA RECEPTURA</t>
        </is>
      </c>
    </row>
    <row r="5">
      <c r="A5" s="7" t="inlineStr">
        <is>
          <t>Nazwa receptury</t>
        </is>
      </c>
      <c r="C5" s="8" t="inlineStr">
        <is>
          <t>TEST START — srebrny bazowy</t>
        </is>
      </c>
      <c r="D5" s="9" t="n"/>
      <c r="E5" s="9" t="n"/>
      <c r="F5" s="10" t="n"/>
      <c r="H5" s="7" t="inlineStr">
        <is>
          <t>Masa oryginalna (g)</t>
        </is>
      </c>
      <c r="I5" s="11">
        <f>SUM(RECEPTURA_ORYGINALNA!E12:E51)</f>
        <v/>
      </c>
      <c r="J5" s="12" t="n"/>
      <c r="K5" s="12" t="n"/>
      <c r="L5" s="13" t="n"/>
    </row>
    <row r="6">
      <c r="A6" s="7" t="inlineStr">
        <is>
          <t>Numer receptury</t>
        </is>
      </c>
      <c r="C6" s="8" t="inlineStr">
        <is>
          <t>RC-0001</t>
        </is>
      </c>
      <c r="D6" s="9" t="n"/>
      <c r="E6" s="9" t="n"/>
      <c r="F6" s="10" t="n"/>
      <c r="H6" s="7" t="inlineStr">
        <is>
          <t>Masa własna (g)</t>
        </is>
      </c>
      <c r="I6" s="11">
        <f>SUM(RECEPTURA_WLASNA!F12:F51)</f>
        <v/>
      </c>
      <c r="J6" s="12" t="n"/>
      <c r="K6" s="12" t="n"/>
      <c r="L6" s="13" t="n"/>
    </row>
    <row r="7">
      <c r="A7" s="7" t="inlineStr">
        <is>
          <t>Nazwa koloru</t>
        </is>
      </c>
      <c r="C7" s="8" t="inlineStr">
        <is>
          <t>Silver test</t>
        </is>
      </c>
      <c r="D7" s="9" t="n"/>
      <c r="E7" s="9" t="n"/>
      <c r="F7" s="10" t="n"/>
      <c r="H7" s="7" t="inlineStr">
        <is>
          <t>Różnica masy (g)</t>
        </is>
      </c>
      <c r="I7" s="11">
        <f>I6-I5</f>
        <v/>
      </c>
      <c r="J7" s="12" t="n"/>
      <c r="K7" s="12" t="n"/>
      <c r="L7" s="13" t="n"/>
    </row>
    <row r="8">
      <c r="A8" s="7" t="inlineStr">
        <is>
          <t>Kod koloru</t>
        </is>
      </c>
      <c r="C8" s="8" t="inlineStr">
        <is>
          <t>TST-001</t>
        </is>
      </c>
      <c r="D8" s="9" t="n"/>
      <c r="E8" s="9" t="n"/>
      <c r="F8" s="10" t="n"/>
      <c r="H8" s="7" t="inlineStr">
        <is>
          <t>Liczba pozycji (własna)</t>
        </is>
      </c>
      <c r="I8" s="14">
        <f>COUNTIF(RECEPTURA_WLASNA!C12:C51,"&lt;&gt;")</f>
        <v/>
      </c>
      <c r="J8" s="12" t="n"/>
      <c r="K8" s="12" t="n"/>
      <c r="L8" s="13" t="n"/>
    </row>
    <row r="9">
      <c r="A9" s="7" t="inlineStr">
        <is>
          <t>Producent</t>
        </is>
      </c>
      <c r="C9" s="8" t="inlineStr">
        <is>
          <t>Warsztat</t>
        </is>
      </c>
      <c r="D9" s="9" t="n"/>
      <c r="E9" s="9" t="n"/>
      <c r="F9" s="10" t="n"/>
      <c r="H9" s="7" t="inlineStr">
        <is>
          <t>Suma % oryginał</t>
        </is>
      </c>
      <c r="I9" s="15">
        <f>IFERROR(SUM(RECEPTURA_ORYGINALNA!G12:G51),0)</f>
        <v/>
      </c>
      <c r="J9" s="12" t="n"/>
      <c r="K9" s="12" t="n"/>
      <c r="L9" s="13" t="n"/>
    </row>
    <row r="10">
      <c r="A10" s="7" t="inlineStr">
        <is>
          <t>System bazowy</t>
        </is>
      </c>
      <c r="C10" s="8" t="inlineStr">
        <is>
          <t>AUTOCOLOR</t>
        </is>
      </c>
      <c r="D10" s="9" t="n"/>
      <c r="E10" s="9" t="n"/>
      <c r="F10" s="10" t="n"/>
      <c r="H10" s="7" t="inlineStr">
        <is>
          <t>Suma % własna</t>
        </is>
      </c>
      <c r="I10" s="15">
        <f>IFERROR(SUM(RECEPTURA_WLASNA!J12:J51),0)</f>
        <v/>
      </c>
      <c r="J10" s="12" t="n"/>
      <c r="K10" s="12" t="n"/>
      <c r="L10" s="13" t="n"/>
    </row>
    <row r="11">
      <c r="A11" s="7" t="inlineStr">
        <is>
          <t>Wersja</t>
        </is>
      </c>
      <c r="C11" s="16" t="n">
        <v>1</v>
      </c>
      <c r="D11" s="9" t="n"/>
      <c r="E11" s="9" t="n"/>
      <c r="F11" s="10" t="n"/>
      <c r="H11" s="7" t="inlineStr">
        <is>
          <t>Status udziałów</t>
        </is>
      </c>
      <c r="I11" s="14">
        <f>IF(I8=0,"BRAK DANYCH",IF(ABS(I10-1)&lt;=Ust_Tolerancja/100,"RECEPTURA POPRAWNA","UWAGA — SUMA UDZIAŁÓW = "&amp;TEXT(I10,"0.00%")))</f>
        <v/>
      </c>
      <c r="J11" s="12" t="n"/>
      <c r="K11" s="12" t="n"/>
      <c r="L11" s="13" t="n"/>
    </row>
    <row r="12">
      <c r="A12" s="7" t="inlineStr">
        <is>
          <t>Autor</t>
        </is>
      </c>
      <c r="C12" s="8">
        <f>Ust_Autor</f>
        <v/>
      </c>
      <c r="D12" s="9" t="n"/>
      <c r="E12" s="9" t="n"/>
      <c r="F12" s="10" t="n"/>
      <c r="H12" s="7" t="inlineStr">
        <is>
          <t>Duplikaty (własna)</t>
        </is>
      </c>
      <c r="I12" s="14">
        <f>COUNTIF(RECEPTURA_WLASNA!N12:N51,"DUPLIKAT")</f>
        <v/>
      </c>
      <c r="J12" s="12" t="n"/>
      <c r="K12" s="12" t="n"/>
      <c r="L12" s="13" t="n"/>
    </row>
    <row r="13">
      <c r="A13" s="7" t="inlineStr">
        <is>
          <t>Data</t>
        </is>
      </c>
      <c r="C13" s="17">
        <f>TODAY()</f>
        <v/>
      </c>
      <c r="D13" s="9" t="n"/>
      <c r="E13" s="9" t="n"/>
      <c r="F13" s="10" t="n"/>
      <c r="H13" s="7" t="inlineStr">
        <is>
          <t>Brak w bazie</t>
        </is>
      </c>
      <c r="I13" s="14">
        <f>COUNTIF(RECEPTURA_WLASNA!O12:O51,"BRAK W BAZIE")</f>
        <v/>
      </c>
      <c r="J13" s="12" t="n"/>
      <c r="K13" s="12" t="n"/>
      <c r="L13" s="13" t="n"/>
    </row>
    <row r="14">
      <c r="A14" s="7" t="inlineStr">
        <is>
          <t>Uwagi technologiczne</t>
        </is>
      </c>
      <c r="C14" s="8" t="inlineStr"/>
      <c r="D14" s="9" t="n"/>
      <c r="E14" s="9" t="n"/>
      <c r="F14" s="10" t="n"/>
      <c r="H14" s="7" t="inlineStr">
        <is>
          <t>Dodane / usunięte</t>
        </is>
      </c>
      <c r="I14" s="14">
        <f>COUNTIF(RECEPTURA_WLASNA!K12:K51,"DODANO")&amp;" / "&amp;COUNTIF(RECEPTURA_WLASNA!K12:K51,"USUNIĘTO")</f>
        <v/>
      </c>
      <c r="J14" s="12" t="n"/>
      <c r="K14" s="12" t="n"/>
      <c r="L14" s="13" t="n"/>
    </row>
    <row r="15">
      <c r="A15" s="7" t="inlineStr">
        <is>
          <t>Masa docelowa (g)</t>
        </is>
      </c>
      <c r="C15" s="18" t="n">
        <v>100</v>
      </c>
      <c r="D15" s="9" t="n"/>
      <c r="E15" s="9" t="n"/>
      <c r="F15" s="10" t="n"/>
      <c r="H15" s="7" t="inlineStr">
        <is>
          <t>Zwiększone / zmniejszone</t>
        </is>
      </c>
      <c r="I15" s="14">
        <f>COUNTIF(RECEPTURA_WLASNA!K12:K51,"ZWIĘKSZONO")&amp;" / "&amp;COUNTIF(RECEPTURA_WLASNA!K12:K51,"ZMNIEJSZONO")</f>
        <v/>
      </c>
      <c r="J15" s="12" t="n"/>
      <c r="K15" s="12" t="n"/>
      <c r="L15" s="13" t="n"/>
    </row>
    <row r="17">
      <c r="A17" s="5" t="inlineStr">
        <is>
          <t>PANEL AKCJI  (LibreOffice: Narzędzia → Makra → Zarządzaj makrami → RECEPTURY_LAKIERY.ods)</t>
        </is>
      </c>
    </row>
    <row r="18">
      <c r="A18" s="19" t="inlineStr">
        <is>
          <t>1. Nowa receptura</t>
        </is>
      </c>
      <c r="C18" s="20" t="inlineStr">
        <is>
          <t>Wyczyść tabele oryginału i własnej, nadaj nowy numer RC, ustaw wersję = 1. Makro: NowaReceptura</t>
        </is>
      </c>
    </row>
    <row r="19">
      <c r="A19" s="19" t="inlineStr">
        <is>
          <t>2. Wpisz oryginał</t>
        </is>
      </c>
      <c r="C19" s="20" t="inlineStr">
        <is>
          <t>Arkusz RECEPTURA_ORYGINALNA: SYSTEM z listy, potem kliknij NR PIGMENTU — lista z wybranej bazy. Ilość w gramach. Nazwa uzupełni się sama.</t>
        </is>
      </c>
    </row>
    <row r="20">
      <c r="A20" s="19" t="inlineStr">
        <is>
          <t>3. Kopia → własna</t>
        </is>
      </c>
      <c r="C20" s="20" t="inlineStr">
        <is>
          <t>Makro KopiujDoWlasnej kopiuje skład. Albo przepisz SYSTEM/NR i ilości. ILOŚĆ ORYGINALNA dociąga się kluczem.</t>
        </is>
      </c>
    </row>
    <row r="21">
      <c r="A21" s="19" t="inlineStr">
        <is>
          <t>4. Modyfikuj</t>
        </is>
      </c>
      <c r="C21" s="20" t="inlineStr">
        <is>
          <t>Zmieniaj złote komórki ilości. Dodawaj pigment z drugiego systemu. Ten sam pigment drugi raz → status DUPLIKAT (zsumuj).</t>
        </is>
      </c>
    </row>
    <row r="22">
      <c r="A22" s="19" t="inlineStr">
        <is>
          <t>5. Przelicz masę</t>
        </is>
      </c>
      <c r="C22" s="20" t="inlineStr">
        <is>
          <t>Ustaw masę docelową na START. Kolumna ILOŚĆ DO ZWAŻENIA przelicza na żywo. Makro ZastosujPrzeliczenie zapisuje wartości.</t>
        </is>
      </c>
    </row>
    <row r="23">
      <c r="A23" s="19" t="inlineStr">
        <is>
          <t>6. Analiza / raport</t>
        </is>
      </c>
      <c r="C23" s="20" t="inlineStr">
        <is>
          <t>Otwórz ANALIZA (wykresy) i RAPORT (wydruk). HISTORIA — makro ZapiszWersje nie nadpisuje poprzednich wersji.</t>
        </is>
      </c>
    </row>
    <row r="25">
      <c r="A25" s="5" t="inlineStr">
        <is>
          <t>NAWIGACJA</t>
        </is>
      </c>
    </row>
    <row r="26">
      <c r="A26" s="21" t="inlineStr">
        <is>
          <t>Skład oryginalny</t>
        </is>
      </c>
      <c r="B26" s="13" t="n"/>
      <c r="C26" s="21" t="inlineStr">
        <is>
          <t>Skład roboczy</t>
        </is>
      </c>
      <c r="D26" s="13" t="n"/>
      <c r="E26" s="21" t="inlineStr">
        <is>
          <t>Wykresy i KPI</t>
        </is>
      </c>
      <c r="F26" s="13" t="n"/>
      <c r="G26" s="21" t="inlineStr">
        <is>
          <t>Wydruk</t>
        </is>
      </c>
      <c r="H26" s="13" t="n"/>
      <c r="I26" s="21" t="inlineStr">
        <is>
          <t>Wersje</t>
        </is>
      </c>
      <c r="J26" s="13" t="n"/>
    </row>
    <row r="27">
      <c r="A27" s="21" t="inlineStr">
        <is>
          <t>Wyszukiwarka</t>
        </is>
      </c>
      <c r="B27" s="13" t="n"/>
      <c r="C27" s="21" t="inlineStr">
        <is>
          <t>Procedury PDF</t>
        </is>
      </c>
      <c r="D27" s="13" t="n"/>
      <c r="E27" s="21" t="inlineStr">
        <is>
          <t>Baza Autocolor</t>
        </is>
      </c>
      <c r="F27" s="13" t="n"/>
      <c r="G27" s="21" t="inlineStr">
        <is>
          <t>Baza Duxone</t>
        </is>
      </c>
      <c r="H27" s="13" t="n"/>
      <c r="I27" s="21" t="inlineStr">
        <is>
          <t>Parametry</t>
        </is>
      </c>
      <c r="J27" s="13" t="n"/>
    </row>
    <row r="29">
      <c r="A29" s="22" t="inlineStr">
        <is>
          <t>Mieszanie systemów: receptura bazowa AUTOCOLOR może zawierać pigmenty DUXONE i odwrotnie. Nie usuwaj wierszy tabel — zeruj ilość (status USUNIĘTO). Komórki złote = wpis, szare = formuła (arkusze bez ochrony — edycja i zapis bez hasła). Źródła nazw: PDF Nexa Autocolor 2K Tint Chart oraz Duxone Tint Descriptions PL; kody z szablonów ODS.</t>
        </is>
      </c>
    </row>
    <row r="30"/>
    <row r="31"/>
    <row r="32"/>
  </sheetData>
  <mergeCells count="46">
    <mergeCell ref="I14:L14"/>
    <mergeCell ref="A29:L32"/>
    <mergeCell ref="C23:L23"/>
    <mergeCell ref="A25:L25"/>
    <mergeCell ref="C8:F8"/>
    <mergeCell ref="I8:L8"/>
    <mergeCell ref="G27:H27"/>
    <mergeCell ref="C7:F7"/>
    <mergeCell ref="I27:J27"/>
    <mergeCell ref="I10:L10"/>
    <mergeCell ref="H4:L4"/>
    <mergeCell ref="C26:D26"/>
    <mergeCell ref="I26:J26"/>
    <mergeCell ref="C13:F13"/>
    <mergeCell ref="I13:L13"/>
    <mergeCell ref="A2:L2"/>
    <mergeCell ref="C19:L19"/>
    <mergeCell ref="I9:L9"/>
    <mergeCell ref="C18:L18"/>
    <mergeCell ref="C6:F6"/>
    <mergeCell ref="I6:L6"/>
    <mergeCell ref="C15:F15"/>
    <mergeCell ref="I15:L15"/>
    <mergeCell ref="A17:L17"/>
    <mergeCell ref="C5:F5"/>
    <mergeCell ref="A27:B27"/>
    <mergeCell ref="I11:L11"/>
    <mergeCell ref="C14:F14"/>
    <mergeCell ref="A26:B26"/>
    <mergeCell ref="C4:F4"/>
    <mergeCell ref="C27:D27"/>
    <mergeCell ref="E27:F27"/>
    <mergeCell ref="C20:L20"/>
    <mergeCell ref="I7:L7"/>
    <mergeCell ref="C10:F10"/>
    <mergeCell ref="E26:F26"/>
    <mergeCell ref="G26:H26"/>
    <mergeCell ref="A4:B4"/>
    <mergeCell ref="C9:F9"/>
    <mergeCell ref="C22:L22"/>
    <mergeCell ref="A1:L1"/>
    <mergeCell ref="C12:F12"/>
    <mergeCell ref="I12:L12"/>
    <mergeCell ref="C21:L21"/>
    <mergeCell ref="C11:F11"/>
    <mergeCell ref="I5:L5"/>
  </mergeCells>
  <conditionalFormatting sqref="I11">
    <cfRule type="expression" priority="1" dxfId="0">
      <formula>ISNUMBER(SEARCH("UWAGA",I11))</formula>
    </cfRule>
    <cfRule type="expression" priority="2" dxfId="1">
      <formula>I11="RECEPTURA POPRAWNA"</formula>
    </cfRule>
  </conditionalFormatting>
  <dataValidations count="2">
    <dataValidation sqref="C10" showDropDown="0" showInputMessage="1" showErrorMessage="1" allowBlank="1" errorTitle="Niedozwolona wartość" error="Wybierz wartość z listy." promptTitle="Wybór" prompt="Wybierz z listy rozwijanej." type="list">
      <formula1>=Lista_Systemow</formula1>
    </dataValidation>
    <dataValidation sqref="C15" showDropDown="0" showInputMessage="0" showErrorMessage="1" allowBlank="1" errorTitle="Ilość ujemna" error="Ilość nie może być ujemna." type="decimal" operator="greaterThanOrEqual">
      <formula1>0</formula1>
    </dataValidation>
  </dataValidations>
  <hyperlinks>
    <hyperlink xmlns:r="http://schemas.openxmlformats.org/officeDocument/2006/relationships" ref="A26" r:id="rId1"/>
    <hyperlink xmlns:r="http://schemas.openxmlformats.org/officeDocument/2006/relationships" ref="C26" r:id="rId2"/>
    <hyperlink xmlns:r="http://schemas.openxmlformats.org/officeDocument/2006/relationships" ref="E26" r:id="rId3"/>
    <hyperlink xmlns:r="http://schemas.openxmlformats.org/officeDocument/2006/relationships" ref="G26" r:id="rId4"/>
    <hyperlink xmlns:r="http://schemas.openxmlformats.org/officeDocument/2006/relationships" ref="I26" r:id="rId5"/>
    <hyperlink xmlns:r="http://schemas.openxmlformats.org/officeDocument/2006/relationships" ref="A27" r:id="rId6"/>
    <hyperlink xmlns:r="http://schemas.openxmlformats.org/officeDocument/2006/relationships" ref="C27" r:id="rId7"/>
    <hyperlink xmlns:r="http://schemas.openxmlformats.org/officeDocument/2006/relationships" ref="E27" r:id="rId8"/>
    <hyperlink xmlns:r="http://schemas.openxmlformats.org/officeDocument/2006/relationships" ref="G27" r:id="rId9"/>
    <hyperlink xmlns:r="http://schemas.openxmlformats.org/officeDocument/2006/relationships" ref="I27" r:id="rId1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1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36" customWidth="1" min="3" max="3"/>
    <col width="36" customWidth="1" min="4" max="4"/>
    <col width="12" customWidth="1" min="5" max="5"/>
    <col width="12" customWidth="1" min="6" max="6"/>
    <col width="12" customWidth="1" min="7" max="7"/>
    <col width="28" customWidth="1" min="8" max="8"/>
    <col width="22" customWidth="1" min="9" max="9"/>
    <col width="18" customWidth="1" min="10" max="10"/>
  </cols>
  <sheetData>
    <row r="1" ht="28" customHeight="1">
      <c r="A1" s="1" t="inlineStr">
        <is>
          <t>RECEPTURA ORYGINALNA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</row>
    <row r="2" ht="18" customHeight="1">
      <c r="A2" s="3" t="inlineStr">
        <is>
          <t>Skład źródłowy. SYSTEM i NR z listy. Nazwa, jednostka i % liczą się automatycznie.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</row>
    <row r="3">
      <c r="A3" s="7" t="inlineStr">
        <is>
          <t>Nazwa</t>
        </is>
      </c>
      <c r="C3" s="14">
        <f>Meta_Nazwa</f>
        <v/>
      </c>
      <c r="D3" s="13" t="n"/>
      <c r="E3" s="7" t="inlineStr">
        <is>
          <t>Numer</t>
        </is>
      </c>
      <c r="F3" s="14">
        <f>Meta_Numer</f>
        <v/>
      </c>
      <c r="H3" s="7" t="inlineStr">
        <is>
          <t>System bazowy</t>
        </is>
      </c>
      <c r="I3" s="14">
        <f>Meta_System</f>
        <v/>
      </c>
    </row>
    <row r="4">
      <c r="A4" s="7" t="inlineStr">
        <is>
          <t>Kolor</t>
        </is>
      </c>
      <c r="C4" s="14">
        <f>Meta_Kolor</f>
        <v/>
      </c>
      <c r="D4" s="13" t="n"/>
      <c r="E4" s="7" t="inlineStr">
        <is>
          <t>Wersja</t>
        </is>
      </c>
      <c r="F4" s="14">
        <f>Meta_Wersja</f>
        <v/>
      </c>
      <c r="H4" s="7" t="inlineStr">
        <is>
          <t>Data</t>
        </is>
      </c>
      <c r="I4" s="23">
        <f>Meta_Data</f>
        <v/>
      </c>
    </row>
    <row r="5">
      <c r="A5" s="7" t="inlineStr">
        <is>
          <t>Masa całkowita (g)</t>
        </is>
      </c>
      <c r="C5" s="11">
        <f>MasaOryg</f>
        <v/>
      </c>
      <c r="E5" s="7" t="inlineStr">
        <is>
          <t>Suma %</t>
        </is>
      </c>
      <c r="F5" s="15">
        <f>IFERROR(SUM(G12:G51),0)</f>
        <v/>
      </c>
      <c r="H5" s="7" t="inlineStr">
        <is>
          <t>Status</t>
        </is>
      </c>
      <c r="I5" s="14">
        <f>StatusUdzialow</f>
        <v/>
      </c>
    </row>
    <row r="6" ht="6" customHeight="1">
      <c r="A6" s="24" t="n"/>
    </row>
    <row r="7">
      <c r="A7" s="25" t="inlineStr">
        <is>
          <t>Najpierw SYSTEM (AUTOCOLOR / DUXONE) z listy, potem kliknij NR PIGMENTU — otworzy się lista z tej bazy. Każdy wiersz ma własny SYSTEM (można mieszać). Po wyborze numeru nazwa i jednostka uzupełnią się same. Ilość ≥ 0. Ten sam klucz dwa razy = DUPLIKAT (zsumuj ilości).</t>
        </is>
      </c>
    </row>
    <row r="8"/>
    <row r="11" ht="32" customHeight="1">
      <c r="A11" s="26" t="inlineStr">
        <is>
          <t>LP</t>
        </is>
      </c>
      <c r="B11" s="26" t="inlineStr">
        <is>
          <t>SYSTEM</t>
        </is>
      </c>
      <c r="C11" s="26" t="inlineStr">
        <is>
          <t>NR PIGMENTU</t>
        </is>
      </c>
      <c r="D11" s="26" t="inlineStr">
        <is>
          <t>NAZWA PIGMENTU</t>
        </is>
      </c>
      <c r="E11" s="26" t="inlineStr">
        <is>
          <t>ILOŚĆ</t>
        </is>
      </c>
      <c r="F11" s="26" t="inlineStr">
        <is>
          <t>JEDNOSTKA</t>
        </is>
      </c>
      <c r="G11" s="26" t="inlineStr">
        <is>
          <t>% UDZIAŁU</t>
        </is>
      </c>
      <c r="H11" s="26" t="inlineStr">
        <is>
          <t>UWAGI</t>
        </is>
      </c>
      <c r="I11" s="26" t="inlineStr">
        <is>
          <t>KLUCZ</t>
        </is>
      </c>
      <c r="J11" s="26" t="inlineStr">
        <is>
          <t>KONTROLA</t>
        </is>
      </c>
    </row>
    <row r="12">
      <c r="A12" s="14">
        <f>IF(C12="","",1)</f>
        <v/>
      </c>
      <c r="B12" s="27" t="inlineStr">
        <is>
          <t>AUTOCOLOR</t>
        </is>
      </c>
      <c r="C12" s="27" t="inlineStr">
        <is>
          <t>P425-900</t>
        </is>
      </c>
      <c r="D12" s="14">
        <f>IF(C12="","",IFERROR(VLOOKUP(I12,PigmentyKlucz,4,FALSE),"BRAK W BAZIE"))</f>
        <v/>
      </c>
      <c r="E12" s="28" t="n">
        <v>50</v>
      </c>
      <c r="F12" s="14">
        <f>IF(C12="","",IFERROR(VLOOKUP(I12,PigmentyKlucz,5,FALSE),Ust_Jednostka))</f>
        <v/>
      </c>
      <c r="G12" s="15">
        <f>IF(OR(C12="",MasaOryg=0),"",E12/MasaOryg)</f>
        <v/>
      </c>
      <c r="H12" s="8" t="n"/>
      <c r="I12" s="14">
        <f>IF(C12="","",B12&amp;"|"&amp;IF(ISNUMBER(FIND(" | ",C12)),TRIM(LEFT(C12,FIND(" | ",C12)-1)),C12))</f>
        <v/>
      </c>
      <c r="J12" s="14">
        <f>IF(C12="","",IF(COUNTIF($I$12:$I$51,I12)&gt;1,"DUPLIKAT",IF(ISERROR(VLOOKUP(I12,PigmentyKlucz,1,FALSE)),"BRAK W BAZIE","OK")))</f>
        <v/>
      </c>
    </row>
    <row r="13">
      <c r="A13" s="14">
        <f>IF(C13="","",2)</f>
        <v/>
      </c>
      <c r="B13" s="27" t="inlineStr">
        <is>
          <t>AUTOCOLOR</t>
        </is>
      </c>
      <c r="C13" s="27" t="inlineStr">
        <is>
          <t>P425-984</t>
        </is>
      </c>
      <c r="D13" s="14">
        <f>IF(C13="","",IFERROR(VLOOKUP(I13,PigmentyKlucz,4,FALSE),"BRAK W BAZIE"))</f>
        <v/>
      </c>
      <c r="E13" s="28" t="n">
        <v>30</v>
      </c>
      <c r="F13" s="14">
        <f>IF(C13="","",IFERROR(VLOOKUP(I13,PigmentyKlucz,5,FALSE),Ust_Jednostka))</f>
        <v/>
      </c>
      <c r="G13" s="15">
        <f>IF(OR(C13="",MasaOryg=0),"",E13/MasaOryg)</f>
        <v/>
      </c>
      <c r="H13" s="8" t="n"/>
      <c r="I13" s="14">
        <f>IF(C13="","",B13&amp;"|"&amp;IF(ISNUMBER(FIND(" | ",C13)),TRIM(LEFT(C13,FIND(" | ",C13)-1)),C13))</f>
        <v/>
      </c>
      <c r="J13" s="14">
        <f>IF(C13="","",IF(COUNTIF($I$12:$I$51,I13)&gt;1,"DUPLIKAT",IF(ISERROR(VLOOKUP(I13,PigmentyKlucz,1,FALSE)),"BRAK W BAZIE","OK")))</f>
        <v/>
      </c>
    </row>
    <row r="14">
      <c r="A14" s="14">
        <f>IF(C14="","",3)</f>
        <v/>
      </c>
      <c r="B14" s="27" t="inlineStr">
        <is>
          <t>AUTOCOLOR</t>
        </is>
      </c>
      <c r="C14" s="27" t="inlineStr">
        <is>
          <t>P425-948</t>
        </is>
      </c>
      <c r="D14" s="14">
        <f>IF(C14="","",IFERROR(VLOOKUP(I14,PigmentyKlucz,4,FALSE),"BRAK W BAZIE"))</f>
        <v/>
      </c>
      <c r="E14" s="28" t="n">
        <v>20</v>
      </c>
      <c r="F14" s="14">
        <f>IF(C14="","",IFERROR(VLOOKUP(I14,PigmentyKlucz,5,FALSE),Ust_Jednostka))</f>
        <v/>
      </c>
      <c r="G14" s="15">
        <f>IF(OR(C14="",MasaOryg=0),"",E14/MasaOryg)</f>
        <v/>
      </c>
      <c r="H14" s="8" t="n"/>
      <c r="I14" s="14">
        <f>IF(C14="","",B14&amp;"|"&amp;IF(ISNUMBER(FIND(" | ",C14)),TRIM(LEFT(C14,FIND(" | ",C14)-1)),C14))</f>
        <v/>
      </c>
      <c r="J14" s="14">
        <f>IF(C14="","",IF(COUNTIF($I$12:$I$51,I14)&gt;1,"DUPLIKAT",IF(ISERROR(VLOOKUP(I14,PigmentyKlucz,1,FALSE)),"BRAK W BAZIE","OK")))</f>
        <v/>
      </c>
    </row>
    <row r="15">
      <c r="A15" s="14">
        <f>IF(C15="","",4)</f>
        <v/>
      </c>
      <c r="B15" s="27" t="n"/>
      <c r="C15" s="27" t="n"/>
      <c r="D15" s="14">
        <f>IF(C15="","",IFERROR(VLOOKUP(I15,PigmentyKlucz,4,FALSE),"BRAK W BAZIE"))</f>
        <v/>
      </c>
      <c r="E15" s="28" t="n"/>
      <c r="F15" s="14">
        <f>IF(C15="","",IFERROR(VLOOKUP(I15,PigmentyKlucz,5,FALSE),Ust_Jednostka))</f>
        <v/>
      </c>
      <c r="G15" s="15">
        <f>IF(OR(C15="",MasaOryg=0),"",E15/MasaOryg)</f>
        <v/>
      </c>
      <c r="H15" s="8" t="n"/>
      <c r="I15" s="14">
        <f>IF(C15="","",B15&amp;"|"&amp;IF(ISNUMBER(FIND(" | ",C15)),TRIM(LEFT(C15,FIND(" | ",C15)-1)),C15))</f>
        <v/>
      </c>
      <c r="J15" s="14">
        <f>IF(C15="","",IF(COUNTIF($I$12:$I$51,I15)&gt;1,"DUPLIKAT",IF(ISERROR(VLOOKUP(I15,PigmentyKlucz,1,FALSE)),"BRAK W BAZIE","OK")))</f>
        <v/>
      </c>
    </row>
    <row r="16">
      <c r="A16" s="14">
        <f>IF(C16="","",5)</f>
        <v/>
      </c>
      <c r="B16" s="27" t="n"/>
      <c r="C16" s="27" t="n"/>
      <c r="D16" s="14">
        <f>IF(C16="","",IFERROR(VLOOKUP(I16,PigmentyKlucz,4,FALSE),"BRAK W BAZIE"))</f>
        <v/>
      </c>
      <c r="E16" s="28" t="n"/>
      <c r="F16" s="14">
        <f>IF(C16="","",IFERROR(VLOOKUP(I16,PigmentyKlucz,5,FALSE),Ust_Jednostka))</f>
        <v/>
      </c>
      <c r="G16" s="15">
        <f>IF(OR(C16="",MasaOryg=0),"",E16/MasaOryg)</f>
        <v/>
      </c>
      <c r="H16" s="8" t="n"/>
      <c r="I16" s="14">
        <f>IF(C16="","",B16&amp;"|"&amp;IF(ISNUMBER(FIND(" | ",C16)),TRIM(LEFT(C16,FIND(" | ",C16)-1)),C16))</f>
        <v/>
      </c>
      <c r="J16" s="14">
        <f>IF(C16="","",IF(COUNTIF($I$12:$I$51,I16)&gt;1,"DUPLIKAT",IF(ISERROR(VLOOKUP(I16,PigmentyKlucz,1,FALSE)),"BRAK W BAZIE","OK")))</f>
        <v/>
      </c>
    </row>
    <row r="17">
      <c r="A17" s="14">
        <f>IF(C17="","",6)</f>
        <v/>
      </c>
      <c r="B17" s="27" t="n"/>
      <c r="C17" s="27" t="n"/>
      <c r="D17" s="14">
        <f>IF(C17="","",IFERROR(VLOOKUP(I17,PigmentyKlucz,4,FALSE),"BRAK W BAZIE"))</f>
        <v/>
      </c>
      <c r="E17" s="28" t="n"/>
      <c r="F17" s="14">
        <f>IF(C17="","",IFERROR(VLOOKUP(I17,PigmentyKlucz,5,FALSE),Ust_Jednostka))</f>
        <v/>
      </c>
      <c r="G17" s="15">
        <f>IF(OR(C17="",MasaOryg=0),"",E17/MasaOryg)</f>
        <v/>
      </c>
      <c r="H17" s="8" t="n"/>
      <c r="I17" s="14">
        <f>IF(C17="","",B17&amp;"|"&amp;IF(ISNUMBER(FIND(" | ",C17)),TRIM(LEFT(C17,FIND(" | ",C17)-1)),C17))</f>
        <v/>
      </c>
      <c r="J17" s="14">
        <f>IF(C17="","",IF(COUNTIF($I$12:$I$51,I17)&gt;1,"DUPLIKAT",IF(ISERROR(VLOOKUP(I17,PigmentyKlucz,1,FALSE)),"BRAK W BAZIE","OK")))</f>
        <v/>
      </c>
    </row>
    <row r="18">
      <c r="A18" s="14">
        <f>IF(C18="","",7)</f>
        <v/>
      </c>
      <c r="B18" s="27" t="n"/>
      <c r="C18" s="27" t="n"/>
      <c r="D18" s="14">
        <f>IF(C18="","",IFERROR(VLOOKUP(I18,PigmentyKlucz,4,FALSE),"BRAK W BAZIE"))</f>
        <v/>
      </c>
      <c r="E18" s="28" t="n"/>
      <c r="F18" s="14">
        <f>IF(C18="","",IFERROR(VLOOKUP(I18,PigmentyKlucz,5,FALSE),Ust_Jednostka))</f>
        <v/>
      </c>
      <c r="G18" s="15">
        <f>IF(OR(C18="",MasaOryg=0),"",E18/MasaOryg)</f>
        <v/>
      </c>
      <c r="H18" s="8" t="n"/>
      <c r="I18" s="14">
        <f>IF(C18="","",B18&amp;"|"&amp;IF(ISNUMBER(FIND(" | ",C18)),TRIM(LEFT(C18,FIND(" | ",C18)-1)),C18))</f>
        <v/>
      </c>
      <c r="J18" s="14">
        <f>IF(C18="","",IF(COUNTIF($I$12:$I$51,I18)&gt;1,"DUPLIKAT",IF(ISERROR(VLOOKUP(I18,PigmentyKlucz,1,FALSE)),"BRAK W BAZIE","OK")))</f>
        <v/>
      </c>
    </row>
    <row r="19">
      <c r="A19" s="14">
        <f>IF(C19="","",8)</f>
        <v/>
      </c>
      <c r="B19" s="27" t="n"/>
      <c r="C19" s="27" t="n"/>
      <c r="D19" s="14">
        <f>IF(C19="","",IFERROR(VLOOKUP(I19,PigmentyKlucz,4,FALSE),"BRAK W BAZIE"))</f>
        <v/>
      </c>
      <c r="E19" s="28" t="n"/>
      <c r="F19" s="14">
        <f>IF(C19="","",IFERROR(VLOOKUP(I19,PigmentyKlucz,5,FALSE),Ust_Jednostka))</f>
        <v/>
      </c>
      <c r="G19" s="15">
        <f>IF(OR(C19="",MasaOryg=0),"",E19/MasaOryg)</f>
        <v/>
      </c>
      <c r="H19" s="8" t="n"/>
      <c r="I19" s="14">
        <f>IF(C19="","",B19&amp;"|"&amp;IF(ISNUMBER(FIND(" | ",C19)),TRIM(LEFT(C19,FIND(" | ",C19)-1)),C19))</f>
        <v/>
      </c>
      <c r="J19" s="14">
        <f>IF(C19="","",IF(COUNTIF($I$12:$I$51,I19)&gt;1,"DUPLIKAT",IF(ISERROR(VLOOKUP(I19,PigmentyKlucz,1,FALSE)),"BRAK W BAZIE","OK")))</f>
        <v/>
      </c>
    </row>
    <row r="20">
      <c r="A20" s="14">
        <f>IF(C20="","",9)</f>
        <v/>
      </c>
      <c r="B20" s="27" t="n"/>
      <c r="C20" s="27" t="n"/>
      <c r="D20" s="14">
        <f>IF(C20="","",IFERROR(VLOOKUP(I20,PigmentyKlucz,4,FALSE),"BRAK W BAZIE"))</f>
        <v/>
      </c>
      <c r="E20" s="28" t="n"/>
      <c r="F20" s="14">
        <f>IF(C20="","",IFERROR(VLOOKUP(I20,PigmentyKlucz,5,FALSE),Ust_Jednostka))</f>
        <v/>
      </c>
      <c r="G20" s="15">
        <f>IF(OR(C20="",MasaOryg=0),"",E20/MasaOryg)</f>
        <v/>
      </c>
      <c r="H20" s="8" t="n"/>
      <c r="I20" s="14">
        <f>IF(C20="","",B20&amp;"|"&amp;IF(ISNUMBER(FIND(" | ",C20)),TRIM(LEFT(C20,FIND(" | ",C20)-1)),C20))</f>
        <v/>
      </c>
      <c r="J20" s="14">
        <f>IF(C20="","",IF(COUNTIF($I$12:$I$51,I20)&gt;1,"DUPLIKAT",IF(ISERROR(VLOOKUP(I20,PigmentyKlucz,1,FALSE)),"BRAK W BAZIE","OK")))</f>
        <v/>
      </c>
    </row>
    <row r="21">
      <c r="A21" s="14">
        <f>IF(C21="","",10)</f>
        <v/>
      </c>
      <c r="B21" s="27" t="n"/>
      <c r="C21" s="27" t="n"/>
      <c r="D21" s="14">
        <f>IF(C21="","",IFERROR(VLOOKUP(I21,PigmentyKlucz,4,FALSE),"BRAK W BAZIE"))</f>
        <v/>
      </c>
      <c r="E21" s="28" t="n"/>
      <c r="F21" s="14">
        <f>IF(C21="","",IFERROR(VLOOKUP(I21,PigmentyKlucz,5,FALSE),Ust_Jednostka))</f>
        <v/>
      </c>
      <c r="G21" s="15">
        <f>IF(OR(C21="",MasaOryg=0),"",E21/MasaOryg)</f>
        <v/>
      </c>
      <c r="H21" s="8" t="n"/>
      <c r="I21" s="14">
        <f>IF(C21="","",B21&amp;"|"&amp;IF(ISNUMBER(FIND(" | ",C21)),TRIM(LEFT(C21,FIND(" | ",C21)-1)),C21))</f>
        <v/>
      </c>
      <c r="J21" s="14">
        <f>IF(C21="","",IF(COUNTIF($I$12:$I$51,I21)&gt;1,"DUPLIKAT",IF(ISERROR(VLOOKUP(I21,PigmentyKlucz,1,FALSE)),"BRAK W BAZIE","OK")))</f>
        <v/>
      </c>
    </row>
    <row r="22">
      <c r="A22" s="14">
        <f>IF(C22="","",11)</f>
        <v/>
      </c>
      <c r="B22" s="27" t="n"/>
      <c r="C22" s="27" t="n"/>
      <c r="D22" s="14">
        <f>IF(C22="","",IFERROR(VLOOKUP(I22,PigmentyKlucz,4,FALSE),"BRAK W BAZIE"))</f>
        <v/>
      </c>
      <c r="E22" s="28" t="n"/>
      <c r="F22" s="14">
        <f>IF(C22="","",IFERROR(VLOOKUP(I22,PigmentyKlucz,5,FALSE),Ust_Jednostka))</f>
        <v/>
      </c>
      <c r="G22" s="15">
        <f>IF(OR(C22="",MasaOryg=0),"",E22/MasaOryg)</f>
        <v/>
      </c>
      <c r="H22" s="8" t="n"/>
      <c r="I22" s="14">
        <f>IF(C22="","",B22&amp;"|"&amp;IF(ISNUMBER(FIND(" | ",C22)),TRIM(LEFT(C22,FIND(" | ",C22)-1)),C22))</f>
        <v/>
      </c>
      <c r="J22" s="14">
        <f>IF(C22="","",IF(COUNTIF($I$12:$I$51,I22)&gt;1,"DUPLIKAT",IF(ISERROR(VLOOKUP(I22,PigmentyKlucz,1,FALSE)),"BRAK W BAZIE","OK")))</f>
        <v/>
      </c>
    </row>
    <row r="23">
      <c r="A23" s="14">
        <f>IF(C23="","",12)</f>
        <v/>
      </c>
      <c r="B23" s="27" t="n"/>
      <c r="C23" s="27" t="n"/>
      <c r="D23" s="14">
        <f>IF(C23="","",IFERROR(VLOOKUP(I23,PigmentyKlucz,4,FALSE),"BRAK W BAZIE"))</f>
        <v/>
      </c>
      <c r="E23" s="28" t="n"/>
      <c r="F23" s="14">
        <f>IF(C23="","",IFERROR(VLOOKUP(I23,PigmentyKlucz,5,FALSE),Ust_Jednostka))</f>
        <v/>
      </c>
      <c r="G23" s="15">
        <f>IF(OR(C23="",MasaOryg=0),"",E23/MasaOryg)</f>
        <v/>
      </c>
      <c r="H23" s="8" t="n"/>
      <c r="I23" s="14">
        <f>IF(C23="","",B23&amp;"|"&amp;IF(ISNUMBER(FIND(" | ",C23)),TRIM(LEFT(C23,FIND(" | ",C23)-1)),C23))</f>
        <v/>
      </c>
      <c r="J23" s="14">
        <f>IF(C23="","",IF(COUNTIF($I$12:$I$51,I23)&gt;1,"DUPLIKAT",IF(ISERROR(VLOOKUP(I23,PigmentyKlucz,1,FALSE)),"BRAK W BAZIE","OK")))</f>
        <v/>
      </c>
    </row>
    <row r="24">
      <c r="A24" s="14">
        <f>IF(C24="","",13)</f>
        <v/>
      </c>
      <c r="B24" s="27" t="n"/>
      <c r="C24" s="27" t="n"/>
      <c r="D24" s="14">
        <f>IF(C24="","",IFERROR(VLOOKUP(I24,PigmentyKlucz,4,FALSE),"BRAK W BAZIE"))</f>
        <v/>
      </c>
      <c r="E24" s="28" t="n"/>
      <c r="F24" s="14">
        <f>IF(C24="","",IFERROR(VLOOKUP(I24,PigmentyKlucz,5,FALSE),Ust_Jednostka))</f>
        <v/>
      </c>
      <c r="G24" s="15">
        <f>IF(OR(C24="",MasaOryg=0),"",E24/MasaOryg)</f>
        <v/>
      </c>
      <c r="H24" s="8" t="n"/>
      <c r="I24" s="14">
        <f>IF(C24="","",B24&amp;"|"&amp;IF(ISNUMBER(FIND(" | ",C24)),TRIM(LEFT(C24,FIND(" | ",C24)-1)),C24))</f>
        <v/>
      </c>
      <c r="J24" s="14">
        <f>IF(C24="","",IF(COUNTIF($I$12:$I$51,I24)&gt;1,"DUPLIKAT",IF(ISERROR(VLOOKUP(I24,PigmentyKlucz,1,FALSE)),"BRAK W BAZIE","OK")))</f>
        <v/>
      </c>
    </row>
    <row r="25">
      <c r="A25" s="14">
        <f>IF(C25="","",14)</f>
        <v/>
      </c>
      <c r="B25" s="27" t="n"/>
      <c r="C25" s="27" t="n"/>
      <c r="D25" s="14">
        <f>IF(C25="","",IFERROR(VLOOKUP(I25,PigmentyKlucz,4,FALSE),"BRAK W BAZIE"))</f>
        <v/>
      </c>
      <c r="E25" s="28" t="n"/>
      <c r="F25" s="14">
        <f>IF(C25="","",IFERROR(VLOOKUP(I25,PigmentyKlucz,5,FALSE),Ust_Jednostka))</f>
        <v/>
      </c>
      <c r="G25" s="15">
        <f>IF(OR(C25="",MasaOryg=0),"",E25/MasaOryg)</f>
        <v/>
      </c>
      <c r="H25" s="8" t="n"/>
      <c r="I25" s="14">
        <f>IF(C25="","",B25&amp;"|"&amp;IF(ISNUMBER(FIND(" | ",C25)),TRIM(LEFT(C25,FIND(" | ",C25)-1)),C25))</f>
        <v/>
      </c>
      <c r="J25" s="14">
        <f>IF(C25="","",IF(COUNTIF($I$12:$I$51,I25)&gt;1,"DUPLIKAT",IF(ISERROR(VLOOKUP(I25,PigmentyKlucz,1,FALSE)),"BRAK W BAZIE","OK")))</f>
        <v/>
      </c>
    </row>
    <row r="26">
      <c r="A26" s="14">
        <f>IF(C26="","",15)</f>
        <v/>
      </c>
      <c r="B26" s="27" t="n"/>
      <c r="C26" s="27" t="n"/>
      <c r="D26" s="14">
        <f>IF(C26="","",IFERROR(VLOOKUP(I26,PigmentyKlucz,4,FALSE),"BRAK W BAZIE"))</f>
        <v/>
      </c>
      <c r="E26" s="28" t="n"/>
      <c r="F26" s="14">
        <f>IF(C26="","",IFERROR(VLOOKUP(I26,PigmentyKlucz,5,FALSE),Ust_Jednostka))</f>
        <v/>
      </c>
      <c r="G26" s="15">
        <f>IF(OR(C26="",MasaOryg=0),"",E26/MasaOryg)</f>
        <v/>
      </c>
      <c r="H26" s="8" t="n"/>
      <c r="I26" s="14">
        <f>IF(C26="","",B26&amp;"|"&amp;IF(ISNUMBER(FIND(" | ",C26)),TRIM(LEFT(C26,FIND(" | ",C26)-1)),C26))</f>
        <v/>
      </c>
      <c r="J26" s="14">
        <f>IF(C26="","",IF(COUNTIF($I$12:$I$51,I26)&gt;1,"DUPLIKAT",IF(ISERROR(VLOOKUP(I26,PigmentyKlucz,1,FALSE)),"BRAK W BAZIE","OK")))</f>
        <v/>
      </c>
    </row>
    <row r="27">
      <c r="A27" s="14">
        <f>IF(C27="","",16)</f>
        <v/>
      </c>
      <c r="B27" s="27" t="n"/>
      <c r="C27" s="27" t="n"/>
      <c r="D27" s="14">
        <f>IF(C27="","",IFERROR(VLOOKUP(I27,PigmentyKlucz,4,FALSE),"BRAK W BAZIE"))</f>
        <v/>
      </c>
      <c r="E27" s="28" t="n"/>
      <c r="F27" s="14">
        <f>IF(C27="","",IFERROR(VLOOKUP(I27,PigmentyKlucz,5,FALSE),Ust_Jednostka))</f>
        <v/>
      </c>
      <c r="G27" s="15">
        <f>IF(OR(C27="",MasaOryg=0),"",E27/MasaOryg)</f>
        <v/>
      </c>
      <c r="H27" s="8" t="n"/>
      <c r="I27" s="14">
        <f>IF(C27="","",B27&amp;"|"&amp;IF(ISNUMBER(FIND(" | ",C27)),TRIM(LEFT(C27,FIND(" | ",C27)-1)),C27))</f>
        <v/>
      </c>
      <c r="J27" s="14">
        <f>IF(C27="","",IF(COUNTIF($I$12:$I$51,I27)&gt;1,"DUPLIKAT",IF(ISERROR(VLOOKUP(I27,PigmentyKlucz,1,FALSE)),"BRAK W BAZIE","OK")))</f>
        <v/>
      </c>
    </row>
    <row r="28">
      <c r="A28" s="14">
        <f>IF(C28="","",17)</f>
        <v/>
      </c>
      <c r="B28" s="27" t="n"/>
      <c r="C28" s="27" t="n"/>
      <c r="D28" s="14">
        <f>IF(C28="","",IFERROR(VLOOKUP(I28,PigmentyKlucz,4,FALSE),"BRAK W BAZIE"))</f>
        <v/>
      </c>
      <c r="E28" s="28" t="n"/>
      <c r="F28" s="14">
        <f>IF(C28="","",IFERROR(VLOOKUP(I28,PigmentyKlucz,5,FALSE),Ust_Jednostka))</f>
        <v/>
      </c>
      <c r="G28" s="15">
        <f>IF(OR(C28="",MasaOryg=0),"",E28/MasaOryg)</f>
        <v/>
      </c>
      <c r="H28" s="8" t="n"/>
      <c r="I28" s="14">
        <f>IF(C28="","",B28&amp;"|"&amp;IF(ISNUMBER(FIND(" | ",C28)),TRIM(LEFT(C28,FIND(" | ",C28)-1)),C28))</f>
        <v/>
      </c>
      <c r="J28" s="14">
        <f>IF(C28="","",IF(COUNTIF($I$12:$I$51,I28)&gt;1,"DUPLIKAT",IF(ISERROR(VLOOKUP(I28,PigmentyKlucz,1,FALSE)),"BRAK W BAZIE","OK")))</f>
        <v/>
      </c>
    </row>
    <row r="29">
      <c r="A29" s="14">
        <f>IF(C29="","",18)</f>
        <v/>
      </c>
      <c r="B29" s="27" t="n"/>
      <c r="C29" s="27" t="n"/>
      <c r="D29" s="14">
        <f>IF(C29="","",IFERROR(VLOOKUP(I29,PigmentyKlucz,4,FALSE),"BRAK W BAZIE"))</f>
        <v/>
      </c>
      <c r="E29" s="28" t="n"/>
      <c r="F29" s="14">
        <f>IF(C29="","",IFERROR(VLOOKUP(I29,PigmentyKlucz,5,FALSE),Ust_Jednostka))</f>
        <v/>
      </c>
      <c r="G29" s="15">
        <f>IF(OR(C29="",MasaOryg=0),"",E29/MasaOryg)</f>
        <v/>
      </c>
      <c r="H29" s="8" t="n"/>
      <c r="I29" s="14">
        <f>IF(C29="","",B29&amp;"|"&amp;IF(ISNUMBER(FIND(" | ",C29)),TRIM(LEFT(C29,FIND(" | ",C29)-1)),C29))</f>
        <v/>
      </c>
      <c r="J29" s="14">
        <f>IF(C29="","",IF(COUNTIF($I$12:$I$51,I29)&gt;1,"DUPLIKAT",IF(ISERROR(VLOOKUP(I29,PigmentyKlucz,1,FALSE)),"BRAK W BAZIE","OK")))</f>
        <v/>
      </c>
    </row>
    <row r="30">
      <c r="A30" s="14">
        <f>IF(C30="","",19)</f>
        <v/>
      </c>
      <c r="B30" s="27" t="n"/>
      <c r="C30" s="27" t="n"/>
      <c r="D30" s="14">
        <f>IF(C30="","",IFERROR(VLOOKUP(I30,PigmentyKlucz,4,FALSE),"BRAK W BAZIE"))</f>
        <v/>
      </c>
      <c r="E30" s="28" t="n"/>
      <c r="F30" s="14">
        <f>IF(C30="","",IFERROR(VLOOKUP(I30,PigmentyKlucz,5,FALSE),Ust_Jednostka))</f>
        <v/>
      </c>
      <c r="G30" s="15">
        <f>IF(OR(C30="",MasaOryg=0),"",E30/MasaOryg)</f>
        <v/>
      </c>
      <c r="H30" s="8" t="n"/>
      <c r="I30" s="14">
        <f>IF(C30="","",B30&amp;"|"&amp;IF(ISNUMBER(FIND(" | ",C30)),TRIM(LEFT(C30,FIND(" | ",C30)-1)),C30))</f>
        <v/>
      </c>
      <c r="J30" s="14">
        <f>IF(C30="","",IF(COUNTIF($I$12:$I$51,I30)&gt;1,"DUPLIKAT",IF(ISERROR(VLOOKUP(I30,PigmentyKlucz,1,FALSE)),"BRAK W BAZIE","OK")))</f>
        <v/>
      </c>
    </row>
    <row r="31">
      <c r="A31" s="14">
        <f>IF(C31="","",20)</f>
        <v/>
      </c>
      <c r="B31" s="27" t="n"/>
      <c r="C31" s="27" t="n"/>
      <c r="D31" s="14">
        <f>IF(C31="","",IFERROR(VLOOKUP(I31,PigmentyKlucz,4,FALSE),"BRAK W BAZIE"))</f>
        <v/>
      </c>
      <c r="E31" s="28" t="n"/>
      <c r="F31" s="14">
        <f>IF(C31="","",IFERROR(VLOOKUP(I31,PigmentyKlucz,5,FALSE),Ust_Jednostka))</f>
        <v/>
      </c>
      <c r="G31" s="15">
        <f>IF(OR(C31="",MasaOryg=0),"",E31/MasaOryg)</f>
        <v/>
      </c>
      <c r="H31" s="8" t="n"/>
      <c r="I31" s="14">
        <f>IF(C31="","",B31&amp;"|"&amp;IF(ISNUMBER(FIND(" | ",C31)),TRIM(LEFT(C31,FIND(" | ",C31)-1)),C31))</f>
        <v/>
      </c>
      <c r="J31" s="14">
        <f>IF(C31="","",IF(COUNTIF($I$12:$I$51,I31)&gt;1,"DUPLIKAT",IF(ISERROR(VLOOKUP(I31,PigmentyKlucz,1,FALSE)),"BRAK W BAZIE","OK")))</f>
        <v/>
      </c>
    </row>
    <row r="32">
      <c r="A32" s="14">
        <f>IF(C32="","",21)</f>
        <v/>
      </c>
      <c r="B32" s="27" t="n"/>
      <c r="C32" s="27" t="n"/>
      <c r="D32" s="14">
        <f>IF(C32="","",IFERROR(VLOOKUP(I32,PigmentyKlucz,4,FALSE),"BRAK W BAZIE"))</f>
        <v/>
      </c>
      <c r="E32" s="28" t="n"/>
      <c r="F32" s="14">
        <f>IF(C32="","",IFERROR(VLOOKUP(I32,PigmentyKlucz,5,FALSE),Ust_Jednostka))</f>
        <v/>
      </c>
      <c r="G32" s="15">
        <f>IF(OR(C32="",MasaOryg=0),"",E32/MasaOryg)</f>
        <v/>
      </c>
      <c r="H32" s="8" t="n"/>
      <c r="I32" s="14">
        <f>IF(C32="","",B32&amp;"|"&amp;IF(ISNUMBER(FIND(" | ",C32)),TRIM(LEFT(C32,FIND(" | ",C32)-1)),C32))</f>
        <v/>
      </c>
      <c r="J32" s="14">
        <f>IF(C32="","",IF(COUNTIF($I$12:$I$51,I32)&gt;1,"DUPLIKAT",IF(ISERROR(VLOOKUP(I32,PigmentyKlucz,1,FALSE)),"BRAK W BAZIE","OK")))</f>
        <v/>
      </c>
    </row>
    <row r="33">
      <c r="A33" s="14">
        <f>IF(C33="","",22)</f>
        <v/>
      </c>
      <c r="B33" s="27" t="n"/>
      <c r="C33" s="27" t="n"/>
      <c r="D33" s="14">
        <f>IF(C33="","",IFERROR(VLOOKUP(I33,PigmentyKlucz,4,FALSE),"BRAK W BAZIE"))</f>
        <v/>
      </c>
      <c r="E33" s="28" t="n"/>
      <c r="F33" s="14">
        <f>IF(C33="","",IFERROR(VLOOKUP(I33,PigmentyKlucz,5,FALSE),Ust_Jednostka))</f>
        <v/>
      </c>
      <c r="G33" s="15">
        <f>IF(OR(C33="",MasaOryg=0),"",E33/MasaOryg)</f>
        <v/>
      </c>
      <c r="H33" s="8" t="n"/>
      <c r="I33" s="14">
        <f>IF(C33="","",B33&amp;"|"&amp;IF(ISNUMBER(FIND(" | ",C33)),TRIM(LEFT(C33,FIND(" | ",C33)-1)),C33))</f>
        <v/>
      </c>
      <c r="J33" s="14">
        <f>IF(C33="","",IF(COUNTIF($I$12:$I$51,I33)&gt;1,"DUPLIKAT",IF(ISERROR(VLOOKUP(I33,PigmentyKlucz,1,FALSE)),"BRAK W BAZIE","OK")))</f>
        <v/>
      </c>
    </row>
    <row r="34">
      <c r="A34" s="14">
        <f>IF(C34="","",23)</f>
        <v/>
      </c>
      <c r="B34" s="27" t="n"/>
      <c r="C34" s="27" t="n"/>
      <c r="D34" s="14">
        <f>IF(C34="","",IFERROR(VLOOKUP(I34,PigmentyKlucz,4,FALSE),"BRAK W BAZIE"))</f>
        <v/>
      </c>
      <c r="E34" s="28" t="n"/>
      <c r="F34" s="14">
        <f>IF(C34="","",IFERROR(VLOOKUP(I34,PigmentyKlucz,5,FALSE),Ust_Jednostka))</f>
        <v/>
      </c>
      <c r="G34" s="15">
        <f>IF(OR(C34="",MasaOryg=0),"",E34/MasaOryg)</f>
        <v/>
      </c>
      <c r="H34" s="8" t="n"/>
      <c r="I34" s="14">
        <f>IF(C34="","",B34&amp;"|"&amp;IF(ISNUMBER(FIND(" | ",C34)),TRIM(LEFT(C34,FIND(" | ",C34)-1)),C34))</f>
        <v/>
      </c>
      <c r="J34" s="14">
        <f>IF(C34="","",IF(COUNTIF($I$12:$I$51,I34)&gt;1,"DUPLIKAT",IF(ISERROR(VLOOKUP(I34,PigmentyKlucz,1,FALSE)),"BRAK W BAZIE","OK")))</f>
        <v/>
      </c>
    </row>
    <row r="35">
      <c r="A35" s="14">
        <f>IF(C35="","",24)</f>
        <v/>
      </c>
      <c r="B35" s="27" t="n"/>
      <c r="C35" s="27" t="n"/>
      <c r="D35" s="14">
        <f>IF(C35="","",IFERROR(VLOOKUP(I35,PigmentyKlucz,4,FALSE),"BRAK W BAZIE"))</f>
        <v/>
      </c>
      <c r="E35" s="28" t="n"/>
      <c r="F35" s="14">
        <f>IF(C35="","",IFERROR(VLOOKUP(I35,PigmentyKlucz,5,FALSE),Ust_Jednostka))</f>
        <v/>
      </c>
      <c r="G35" s="15">
        <f>IF(OR(C35="",MasaOryg=0),"",E35/MasaOryg)</f>
        <v/>
      </c>
      <c r="H35" s="8" t="n"/>
      <c r="I35" s="14">
        <f>IF(C35="","",B35&amp;"|"&amp;IF(ISNUMBER(FIND(" | ",C35)),TRIM(LEFT(C35,FIND(" | ",C35)-1)),C35))</f>
        <v/>
      </c>
      <c r="J35" s="14">
        <f>IF(C35="","",IF(COUNTIF($I$12:$I$51,I35)&gt;1,"DUPLIKAT",IF(ISERROR(VLOOKUP(I35,PigmentyKlucz,1,FALSE)),"BRAK W BAZIE","OK")))</f>
        <v/>
      </c>
    </row>
    <row r="36">
      <c r="A36" s="14">
        <f>IF(C36="","",25)</f>
        <v/>
      </c>
      <c r="B36" s="27" t="n"/>
      <c r="C36" s="27" t="n"/>
      <c r="D36" s="14">
        <f>IF(C36="","",IFERROR(VLOOKUP(I36,PigmentyKlucz,4,FALSE),"BRAK W BAZIE"))</f>
        <v/>
      </c>
      <c r="E36" s="28" t="n"/>
      <c r="F36" s="14">
        <f>IF(C36="","",IFERROR(VLOOKUP(I36,PigmentyKlucz,5,FALSE),Ust_Jednostka))</f>
        <v/>
      </c>
      <c r="G36" s="15">
        <f>IF(OR(C36="",MasaOryg=0),"",E36/MasaOryg)</f>
        <v/>
      </c>
      <c r="H36" s="8" t="n"/>
      <c r="I36" s="14">
        <f>IF(C36="","",B36&amp;"|"&amp;IF(ISNUMBER(FIND(" | ",C36)),TRIM(LEFT(C36,FIND(" | ",C36)-1)),C36))</f>
        <v/>
      </c>
      <c r="J36" s="14">
        <f>IF(C36="","",IF(COUNTIF($I$12:$I$51,I36)&gt;1,"DUPLIKAT",IF(ISERROR(VLOOKUP(I36,PigmentyKlucz,1,FALSE)),"BRAK W BAZIE","OK")))</f>
        <v/>
      </c>
    </row>
    <row r="37">
      <c r="A37" s="14">
        <f>IF(C37="","",26)</f>
        <v/>
      </c>
      <c r="B37" s="27" t="n"/>
      <c r="C37" s="27" t="n"/>
      <c r="D37" s="14">
        <f>IF(C37="","",IFERROR(VLOOKUP(I37,PigmentyKlucz,4,FALSE),"BRAK W BAZIE"))</f>
        <v/>
      </c>
      <c r="E37" s="28" t="n"/>
      <c r="F37" s="14">
        <f>IF(C37="","",IFERROR(VLOOKUP(I37,PigmentyKlucz,5,FALSE),Ust_Jednostka))</f>
        <v/>
      </c>
      <c r="G37" s="15">
        <f>IF(OR(C37="",MasaOryg=0),"",E37/MasaOryg)</f>
        <v/>
      </c>
      <c r="H37" s="8" t="n"/>
      <c r="I37" s="14">
        <f>IF(C37="","",B37&amp;"|"&amp;IF(ISNUMBER(FIND(" | ",C37)),TRIM(LEFT(C37,FIND(" | ",C37)-1)),C37))</f>
        <v/>
      </c>
      <c r="J37" s="14">
        <f>IF(C37="","",IF(COUNTIF($I$12:$I$51,I37)&gt;1,"DUPLIKAT",IF(ISERROR(VLOOKUP(I37,PigmentyKlucz,1,FALSE)),"BRAK W BAZIE","OK")))</f>
        <v/>
      </c>
    </row>
    <row r="38">
      <c r="A38" s="14">
        <f>IF(C38="","",27)</f>
        <v/>
      </c>
      <c r="B38" s="27" t="n"/>
      <c r="C38" s="27" t="n"/>
      <c r="D38" s="14">
        <f>IF(C38="","",IFERROR(VLOOKUP(I38,PigmentyKlucz,4,FALSE),"BRAK W BAZIE"))</f>
        <v/>
      </c>
      <c r="E38" s="28" t="n"/>
      <c r="F38" s="14">
        <f>IF(C38="","",IFERROR(VLOOKUP(I38,PigmentyKlucz,5,FALSE),Ust_Jednostka))</f>
        <v/>
      </c>
      <c r="G38" s="15">
        <f>IF(OR(C38="",MasaOryg=0),"",E38/MasaOryg)</f>
        <v/>
      </c>
      <c r="H38" s="8" t="n"/>
      <c r="I38" s="14">
        <f>IF(C38="","",B38&amp;"|"&amp;IF(ISNUMBER(FIND(" | ",C38)),TRIM(LEFT(C38,FIND(" | ",C38)-1)),C38))</f>
        <v/>
      </c>
      <c r="J38" s="14">
        <f>IF(C38="","",IF(COUNTIF($I$12:$I$51,I38)&gt;1,"DUPLIKAT",IF(ISERROR(VLOOKUP(I38,PigmentyKlucz,1,FALSE)),"BRAK W BAZIE","OK")))</f>
        <v/>
      </c>
    </row>
    <row r="39">
      <c r="A39" s="14">
        <f>IF(C39="","",28)</f>
        <v/>
      </c>
      <c r="B39" s="27" t="n"/>
      <c r="C39" s="27" t="n"/>
      <c r="D39" s="14">
        <f>IF(C39="","",IFERROR(VLOOKUP(I39,PigmentyKlucz,4,FALSE),"BRAK W BAZIE"))</f>
        <v/>
      </c>
      <c r="E39" s="28" t="n"/>
      <c r="F39" s="14">
        <f>IF(C39="","",IFERROR(VLOOKUP(I39,PigmentyKlucz,5,FALSE),Ust_Jednostka))</f>
        <v/>
      </c>
      <c r="G39" s="15">
        <f>IF(OR(C39="",MasaOryg=0),"",E39/MasaOryg)</f>
        <v/>
      </c>
      <c r="H39" s="8" t="n"/>
      <c r="I39" s="14">
        <f>IF(C39="","",B39&amp;"|"&amp;IF(ISNUMBER(FIND(" | ",C39)),TRIM(LEFT(C39,FIND(" | ",C39)-1)),C39))</f>
        <v/>
      </c>
      <c r="J39" s="14">
        <f>IF(C39="","",IF(COUNTIF($I$12:$I$51,I39)&gt;1,"DUPLIKAT",IF(ISERROR(VLOOKUP(I39,PigmentyKlucz,1,FALSE)),"BRAK W BAZIE","OK")))</f>
        <v/>
      </c>
    </row>
    <row r="40">
      <c r="A40" s="14">
        <f>IF(C40="","",29)</f>
        <v/>
      </c>
      <c r="B40" s="27" t="n"/>
      <c r="C40" s="27" t="n"/>
      <c r="D40" s="14">
        <f>IF(C40="","",IFERROR(VLOOKUP(I40,PigmentyKlucz,4,FALSE),"BRAK W BAZIE"))</f>
        <v/>
      </c>
      <c r="E40" s="28" t="n"/>
      <c r="F40" s="14">
        <f>IF(C40="","",IFERROR(VLOOKUP(I40,PigmentyKlucz,5,FALSE),Ust_Jednostka))</f>
        <v/>
      </c>
      <c r="G40" s="15">
        <f>IF(OR(C40="",MasaOryg=0),"",E40/MasaOryg)</f>
        <v/>
      </c>
      <c r="H40" s="8" t="n"/>
      <c r="I40" s="14">
        <f>IF(C40="","",B40&amp;"|"&amp;IF(ISNUMBER(FIND(" | ",C40)),TRIM(LEFT(C40,FIND(" | ",C40)-1)),C40))</f>
        <v/>
      </c>
      <c r="J40" s="14">
        <f>IF(C40="","",IF(COUNTIF($I$12:$I$51,I40)&gt;1,"DUPLIKAT",IF(ISERROR(VLOOKUP(I40,PigmentyKlucz,1,FALSE)),"BRAK W BAZIE","OK")))</f>
        <v/>
      </c>
    </row>
    <row r="41">
      <c r="A41" s="14">
        <f>IF(C41="","",30)</f>
        <v/>
      </c>
      <c r="B41" s="27" t="n"/>
      <c r="C41" s="27" t="n"/>
      <c r="D41" s="14">
        <f>IF(C41="","",IFERROR(VLOOKUP(I41,PigmentyKlucz,4,FALSE),"BRAK W BAZIE"))</f>
        <v/>
      </c>
      <c r="E41" s="28" t="n"/>
      <c r="F41" s="14">
        <f>IF(C41="","",IFERROR(VLOOKUP(I41,PigmentyKlucz,5,FALSE),Ust_Jednostka))</f>
        <v/>
      </c>
      <c r="G41" s="15">
        <f>IF(OR(C41="",MasaOryg=0),"",E41/MasaOryg)</f>
        <v/>
      </c>
      <c r="H41" s="8" t="n"/>
      <c r="I41" s="14">
        <f>IF(C41="","",B41&amp;"|"&amp;IF(ISNUMBER(FIND(" | ",C41)),TRIM(LEFT(C41,FIND(" | ",C41)-1)),C41))</f>
        <v/>
      </c>
      <c r="J41" s="14">
        <f>IF(C41="","",IF(COUNTIF($I$12:$I$51,I41)&gt;1,"DUPLIKAT",IF(ISERROR(VLOOKUP(I41,PigmentyKlucz,1,FALSE)),"BRAK W BAZIE","OK")))</f>
        <v/>
      </c>
    </row>
    <row r="42">
      <c r="A42" s="14">
        <f>IF(C42="","",31)</f>
        <v/>
      </c>
      <c r="B42" s="27" t="n"/>
      <c r="C42" s="27" t="n"/>
      <c r="D42" s="14">
        <f>IF(C42="","",IFERROR(VLOOKUP(I42,PigmentyKlucz,4,FALSE),"BRAK W BAZIE"))</f>
        <v/>
      </c>
      <c r="E42" s="28" t="n"/>
      <c r="F42" s="14">
        <f>IF(C42="","",IFERROR(VLOOKUP(I42,PigmentyKlucz,5,FALSE),Ust_Jednostka))</f>
        <v/>
      </c>
      <c r="G42" s="15">
        <f>IF(OR(C42="",MasaOryg=0),"",E42/MasaOryg)</f>
        <v/>
      </c>
      <c r="H42" s="8" t="n"/>
      <c r="I42" s="14">
        <f>IF(C42="","",B42&amp;"|"&amp;IF(ISNUMBER(FIND(" | ",C42)),TRIM(LEFT(C42,FIND(" | ",C42)-1)),C42))</f>
        <v/>
      </c>
      <c r="J42" s="14">
        <f>IF(C42="","",IF(COUNTIF($I$12:$I$51,I42)&gt;1,"DUPLIKAT",IF(ISERROR(VLOOKUP(I42,PigmentyKlucz,1,FALSE)),"BRAK W BAZIE","OK")))</f>
        <v/>
      </c>
    </row>
    <row r="43">
      <c r="A43" s="14">
        <f>IF(C43="","",32)</f>
        <v/>
      </c>
      <c r="B43" s="27" t="n"/>
      <c r="C43" s="27" t="n"/>
      <c r="D43" s="14">
        <f>IF(C43="","",IFERROR(VLOOKUP(I43,PigmentyKlucz,4,FALSE),"BRAK W BAZIE"))</f>
        <v/>
      </c>
      <c r="E43" s="28" t="n"/>
      <c r="F43" s="14">
        <f>IF(C43="","",IFERROR(VLOOKUP(I43,PigmentyKlucz,5,FALSE),Ust_Jednostka))</f>
        <v/>
      </c>
      <c r="G43" s="15">
        <f>IF(OR(C43="",MasaOryg=0),"",E43/MasaOryg)</f>
        <v/>
      </c>
      <c r="H43" s="8" t="n"/>
      <c r="I43" s="14">
        <f>IF(C43="","",B43&amp;"|"&amp;IF(ISNUMBER(FIND(" | ",C43)),TRIM(LEFT(C43,FIND(" | ",C43)-1)),C43))</f>
        <v/>
      </c>
      <c r="J43" s="14">
        <f>IF(C43="","",IF(COUNTIF($I$12:$I$51,I43)&gt;1,"DUPLIKAT",IF(ISERROR(VLOOKUP(I43,PigmentyKlucz,1,FALSE)),"BRAK W BAZIE","OK")))</f>
        <v/>
      </c>
    </row>
    <row r="44">
      <c r="A44" s="14">
        <f>IF(C44="","",33)</f>
        <v/>
      </c>
      <c r="B44" s="27" t="n"/>
      <c r="C44" s="27" t="n"/>
      <c r="D44" s="14">
        <f>IF(C44="","",IFERROR(VLOOKUP(I44,PigmentyKlucz,4,FALSE),"BRAK W BAZIE"))</f>
        <v/>
      </c>
      <c r="E44" s="28" t="n"/>
      <c r="F44" s="14">
        <f>IF(C44="","",IFERROR(VLOOKUP(I44,PigmentyKlucz,5,FALSE),Ust_Jednostka))</f>
        <v/>
      </c>
      <c r="G44" s="15">
        <f>IF(OR(C44="",MasaOryg=0),"",E44/MasaOryg)</f>
        <v/>
      </c>
      <c r="H44" s="8" t="n"/>
      <c r="I44" s="14">
        <f>IF(C44="","",B44&amp;"|"&amp;IF(ISNUMBER(FIND(" | ",C44)),TRIM(LEFT(C44,FIND(" | ",C44)-1)),C44))</f>
        <v/>
      </c>
      <c r="J44" s="14">
        <f>IF(C44="","",IF(COUNTIF($I$12:$I$51,I44)&gt;1,"DUPLIKAT",IF(ISERROR(VLOOKUP(I44,PigmentyKlucz,1,FALSE)),"BRAK W BAZIE","OK")))</f>
        <v/>
      </c>
    </row>
    <row r="45">
      <c r="A45" s="14">
        <f>IF(C45="","",34)</f>
        <v/>
      </c>
      <c r="B45" s="27" t="n"/>
      <c r="C45" s="27" t="n"/>
      <c r="D45" s="14">
        <f>IF(C45="","",IFERROR(VLOOKUP(I45,PigmentyKlucz,4,FALSE),"BRAK W BAZIE"))</f>
        <v/>
      </c>
      <c r="E45" s="28" t="n"/>
      <c r="F45" s="14">
        <f>IF(C45="","",IFERROR(VLOOKUP(I45,PigmentyKlucz,5,FALSE),Ust_Jednostka))</f>
        <v/>
      </c>
      <c r="G45" s="15">
        <f>IF(OR(C45="",MasaOryg=0),"",E45/MasaOryg)</f>
        <v/>
      </c>
      <c r="H45" s="8" t="n"/>
      <c r="I45" s="14">
        <f>IF(C45="","",B45&amp;"|"&amp;IF(ISNUMBER(FIND(" | ",C45)),TRIM(LEFT(C45,FIND(" | ",C45)-1)),C45))</f>
        <v/>
      </c>
      <c r="J45" s="14">
        <f>IF(C45="","",IF(COUNTIF($I$12:$I$51,I45)&gt;1,"DUPLIKAT",IF(ISERROR(VLOOKUP(I45,PigmentyKlucz,1,FALSE)),"BRAK W BAZIE","OK")))</f>
        <v/>
      </c>
    </row>
    <row r="46">
      <c r="A46" s="14">
        <f>IF(C46="","",35)</f>
        <v/>
      </c>
      <c r="B46" s="27" t="n"/>
      <c r="C46" s="27" t="n"/>
      <c r="D46" s="14">
        <f>IF(C46="","",IFERROR(VLOOKUP(I46,PigmentyKlucz,4,FALSE),"BRAK W BAZIE"))</f>
        <v/>
      </c>
      <c r="E46" s="28" t="n"/>
      <c r="F46" s="14">
        <f>IF(C46="","",IFERROR(VLOOKUP(I46,PigmentyKlucz,5,FALSE),Ust_Jednostka))</f>
        <v/>
      </c>
      <c r="G46" s="15">
        <f>IF(OR(C46="",MasaOryg=0),"",E46/MasaOryg)</f>
        <v/>
      </c>
      <c r="H46" s="8" t="n"/>
      <c r="I46" s="14">
        <f>IF(C46="","",B46&amp;"|"&amp;IF(ISNUMBER(FIND(" | ",C46)),TRIM(LEFT(C46,FIND(" | ",C46)-1)),C46))</f>
        <v/>
      </c>
      <c r="J46" s="14">
        <f>IF(C46="","",IF(COUNTIF($I$12:$I$51,I46)&gt;1,"DUPLIKAT",IF(ISERROR(VLOOKUP(I46,PigmentyKlucz,1,FALSE)),"BRAK W BAZIE","OK")))</f>
        <v/>
      </c>
    </row>
    <row r="47">
      <c r="A47" s="14">
        <f>IF(C47="","",36)</f>
        <v/>
      </c>
      <c r="B47" s="27" t="n"/>
      <c r="C47" s="27" t="n"/>
      <c r="D47" s="14">
        <f>IF(C47="","",IFERROR(VLOOKUP(I47,PigmentyKlucz,4,FALSE),"BRAK W BAZIE"))</f>
        <v/>
      </c>
      <c r="E47" s="28" t="n"/>
      <c r="F47" s="14">
        <f>IF(C47="","",IFERROR(VLOOKUP(I47,PigmentyKlucz,5,FALSE),Ust_Jednostka))</f>
        <v/>
      </c>
      <c r="G47" s="15">
        <f>IF(OR(C47="",MasaOryg=0),"",E47/MasaOryg)</f>
        <v/>
      </c>
      <c r="H47" s="8" t="n"/>
      <c r="I47" s="14">
        <f>IF(C47="","",B47&amp;"|"&amp;IF(ISNUMBER(FIND(" | ",C47)),TRIM(LEFT(C47,FIND(" | ",C47)-1)),C47))</f>
        <v/>
      </c>
      <c r="J47" s="14">
        <f>IF(C47="","",IF(COUNTIF($I$12:$I$51,I47)&gt;1,"DUPLIKAT",IF(ISERROR(VLOOKUP(I47,PigmentyKlucz,1,FALSE)),"BRAK W BAZIE","OK")))</f>
        <v/>
      </c>
    </row>
    <row r="48">
      <c r="A48" s="14">
        <f>IF(C48="","",37)</f>
        <v/>
      </c>
      <c r="B48" s="27" t="n"/>
      <c r="C48" s="27" t="n"/>
      <c r="D48" s="14">
        <f>IF(C48="","",IFERROR(VLOOKUP(I48,PigmentyKlucz,4,FALSE),"BRAK W BAZIE"))</f>
        <v/>
      </c>
      <c r="E48" s="28" t="n"/>
      <c r="F48" s="14">
        <f>IF(C48="","",IFERROR(VLOOKUP(I48,PigmentyKlucz,5,FALSE),Ust_Jednostka))</f>
        <v/>
      </c>
      <c r="G48" s="15">
        <f>IF(OR(C48="",MasaOryg=0),"",E48/MasaOryg)</f>
        <v/>
      </c>
      <c r="H48" s="8" t="n"/>
      <c r="I48" s="14">
        <f>IF(C48="","",B48&amp;"|"&amp;IF(ISNUMBER(FIND(" | ",C48)),TRIM(LEFT(C48,FIND(" | ",C48)-1)),C48))</f>
        <v/>
      </c>
      <c r="J48" s="14">
        <f>IF(C48="","",IF(COUNTIF($I$12:$I$51,I48)&gt;1,"DUPLIKAT",IF(ISERROR(VLOOKUP(I48,PigmentyKlucz,1,FALSE)),"BRAK W BAZIE","OK")))</f>
        <v/>
      </c>
    </row>
    <row r="49">
      <c r="A49" s="14">
        <f>IF(C49="","",38)</f>
        <v/>
      </c>
      <c r="B49" s="27" t="n"/>
      <c r="C49" s="27" t="n"/>
      <c r="D49" s="14">
        <f>IF(C49="","",IFERROR(VLOOKUP(I49,PigmentyKlucz,4,FALSE),"BRAK W BAZIE"))</f>
        <v/>
      </c>
      <c r="E49" s="28" t="n"/>
      <c r="F49" s="14">
        <f>IF(C49="","",IFERROR(VLOOKUP(I49,PigmentyKlucz,5,FALSE),Ust_Jednostka))</f>
        <v/>
      </c>
      <c r="G49" s="15">
        <f>IF(OR(C49="",MasaOryg=0),"",E49/MasaOryg)</f>
        <v/>
      </c>
      <c r="H49" s="8" t="n"/>
      <c r="I49" s="14">
        <f>IF(C49="","",B49&amp;"|"&amp;IF(ISNUMBER(FIND(" | ",C49)),TRIM(LEFT(C49,FIND(" | ",C49)-1)),C49))</f>
        <v/>
      </c>
      <c r="J49" s="14">
        <f>IF(C49="","",IF(COUNTIF($I$12:$I$51,I49)&gt;1,"DUPLIKAT",IF(ISERROR(VLOOKUP(I49,PigmentyKlucz,1,FALSE)),"BRAK W BAZIE","OK")))</f>
        <v/>
      </c>
    </row>
    <row r="50">
      <c r="A50" s="14">
        <f>IF(C50="","",39)</f>
        <v/>
      </c>
      <c r="B50" s="27" t="n"/>
      <c r="C50" s="27" t="n"/>
      <c r="D50" s="14">
        <f>IF(C50="","",IFERROR(VLOOKUP(I50,PigmentyKlucz,4,FALSE),"BRAK W BAZIE"))</f>
        <v/>
      </c>
      <c r="E50" s="28" t="n"/>
      <c r="F50" s="14">
        <f>IF(C50="","",IFERROR(VLOOKUP(I50,PigmentyKlucz,5,FALSE),Ust_Jednostka))</f>
        <v/>
      </c>
      <c r="G50" s="15">
        <f>IF(OR(C50="",MasaOryg=0),"",E50/MasaOryg)</f>
        <v/>
      </c>
      <c r="H50" s="8" t="n"/>
      <c r="I50" s="14">
        <f>IF(C50="","",B50&amp;"|"&amp;IF(ISNUMBER(FIND(" | ",C50)),TRIM(LEFT(C50,FIND(" | ",C50)-1)),C50))</f>
        <v/>
      </c>
      <c r="J50" s="14">
        <f>IF(C50="","",IF(COUNTIF($I$12:$I$51,I50)&gt;1,"DUPLIKAT",IF(ISERROR(VLOOKUP(I50,PigmentyKlucz,1,FALSE)),"BRAK W BAZIE","OK")))</f>
        <v/>
      </c>
    </row>
    <row r="51">
      <c r="A51" s="14">
        <f>IF(C51="","",40)</f>
        <v/>
      </c>
      <c r="B51" s="27" t="n"/>
      <c r="C51" s="27" t="n"/>
      <c r="D51" s="14">
        <f>IF(C51="","",IFERROR(VLOOKUP(I51,PigmentyKlucz,4,FALSE),"BRAK W BAZIE"))</f>
        <v/>
      </c>
      <c r="E51" s="28" t="n"/>
      <c r="F51" s="14">
        <f>IF(C51="","",IFERROR(VLOOKUP(I51,PigmentyKlucz,5,FALSE),Ust_Jednostka))</f>
        <v/>
      </c>
      <c r="G51" s="15">
        <f>IF(OR(C51="",MasaOryg=0),"",E51/MasaOryg)</f>
        <v/>
      </c>
      <c r="H51" s="8" t="n"/>
      <c r="I51" s="14">
        <f>IF(C51="","",B51&amp;"|"&amp;IF(ISNUMBER(FIND(" | ",C51)),TRIM(LEFT(C51,FIND(" | ",C51)-1)),C51))</f>
        <v/>
      </c>
      <c r="J51" s="14">
        <f>IF(C51="","",IF(COUNTIF($I$12:$I$51,I51)&gt;1,"DUPLIKAT",IF(ISERROR(VLOOKUP(I51,PigmentyKlucz,1,FALSE)),"BRAK W BAZIE","OK")))</f>
        <v/>
      </c>
    </row>
  </sheetData>
  <autoFilter ref="A11:J51"/>
  <mergeCells count="6">
    <mergeCell ref="A1:J1"/>
    <mergeCell ref="A6:J6"/>
    <mergeCell ref="A7:J8"/>
    <mergeCell ref="A2:J2"/>
    <mergeCell ref="C3:D3"/>
    <mergeCell ref="C4:D4"/>
  </mergeCells>
  <conditionalFormatting sqref="J12:J51">
    <cfRule type="cellIs" priority="1" operator="equal" dxfId="2">
      <formula>"DUPLIKAT"</formula>
    </cfRule>
    <cfRule type="cellIs" priority="2" operator="equal" dxfId="3">
      <formula>"BRAK W BAZIE"</formula>
    </cfRule>
  </conditionalFormatting>
  <dataValidations count="3">
    <dataValidation sqref="B12:B51" showDropDown="0" showInputMessage="1" showErrorMessage="1" allowBlank="1" errorTitle="Niedozwolona wartość" error="Wybierz wartość z listy." promptTitle="Wybór" prompt="Wybierz z listy rozwijanej." type="list">
      <formula1>=Lista_Systemow</formula1>
    </dataValidation>
    <dataValidation sqref="E12:E51" showDropDown="0" showInputMessage="0" showErrorMessage="1" allowBlank="1" errorTitle="Ilość ujemna" error="Ilość nie może być ujemna." type="decimal" operator="greaterThanOrEqual">
      <formula1>0</formula1>
    </dataValidation>
    <dataValidation sqref="C12:C51" showDropDown="0" showInputMessage="1" showErrorMessage="0" allowBlank="1" promptTitle="NR PIGMENTU" prompt="Wybierz pigment z listy (baza = SYSTEM w tym wierszu). Nie wpisuj kodu ręcznie." type="list">
      <formula1>=INDIRECT(IF($B12="DUXONE",LISTY!$K$9,LISTY!$J$9))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51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36" customWidth="1" min="3" max="3"/>
    <col width="32" customWidth="1" min="4" max="4"/>
    <col width="16" customWidth="1" min="5" max="5"/>
    <col width="14" customWidth="1" min="6" max="6"/>
    <col width="12" customWidth="1" min="7" max="7"/>
    <col width="12" customWidth="1" min="8" max="8"/>
    <col width="16" customWidth="1" min="9" max="9"/>
    <col width="16" customWidth="1" min="10" max="10"/>
    <col width="14" customWidth="1" min="11" max="11"/>
    <col width="22" customWidth="1" min="12" max="12"/>
    <col width="16" customWidth="1" min="13" max="13"/>
    <col width="14" customWidth="1" min="14" max="14"/>
    <col width="16" customWidth="1" min="15" max="15"/>
    <col width="22" customWidth="1" min="16" max="16"/>
  </cols>
  <sheetData>
    <row r="1" ht="28" customHeight="1">
      <c r="A1" s="1" t="inlineStr">
        <is>
          <t>RECEPTURA WŁASNA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</row>
    <row r="2" ht="18" customHeight="1">
      <c r="A2" s="3" t="inlineStr">
        <is>
          <t>Główny arkusz roboczy. ILOŚĆ ORYGINALNA dociągana kluczem SYSTEM|NR. Można dodać pigment z drugiego systemu.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</row>
    <row r="3">
      <c r="A3" s="7" t="inlineStr">
        <is>
          <t>Nazwa</t>
        </is>
      </c>
      <c r="C3" s="14">
        <f>Meta_Nazwa</f>
        <v/>
      </c>
      <c r="E3" s="7" t="inlineStr">
        <is>
          <t>Numer</t>
        </is>
      </c>
      <c r="F3" s="14">
        <f>Meta_Numer</f>
        <v/>
      </c>
      <c r="H3" s="7" t="inlineStr">
        <is>
          <t>System bazowy</t>
        </is>
      </c>
      <c r="I3" s="14">
        <f>Meta_System</f>
        <v/>
      </c>
      <c r="K3" s="7" t="inlineStr">
        <is>
          <t>Masa docelowa (g)</t>
        </is>
      </c>
      <c r="M3" s="11">
        <f>MasaDocelowa</f>
        <v/>
      </c>
    </row>
    <row r="4">
      <c r="A4" s="7" t="inlineStr">
        <is>
          <t>Kolor</t>
        </is>
      </c>
      <c r="C4" s="14">
        <f>Meta_Kolor</f>
        <v/>
      </c>
      <c r="E4" s="7" t="inlineStr">
        <is>
          <t>Wersja</t>
        </is>
      </c>
      <c r="F4" s="14">
        <f>Meta_Wersja</f>
        <v/>
      </c>
      <c r="H4" s="7" t="inlineStr">
        <is>
          <t>Data</t>
        </is>
      </c>
      <c r="I4" s="23">
        <f>Meta_Data</f>
        <v/>
      </c>
      <c r="K4" s="7" t="inlineStr">
        <is>
          <t>Masa własna (g)</t>
        </is>
      </c>
      <c r="M4" s="11">
        <f>MasaWlasna</f>
        <v/>
      </c>
    </row>
    <row r="5">
      <c r="A5" s="7" t="inlineStr">
        <is>
          <t>Status udziałów</t>
        </is>
      </c>
      <c r="C5" s="14">
        <f>StatusUdzialow</f>
        <v/>
      </c>
      <c r="D5" s="13" t="n"/>
      <c r="E5" s="7" t="inlineStr">
        <is>
          <t>Masa oryg. (g)</t>
        </is>
      </c>
      <c r="F5" s="11">
        <f>MasaOryg</f>
        <v/>
      </c>
      <c r="H5" s="7" t="inlineStr">
        <is>
          <t>Różnica (g)</t>
        </is>
      </c>
      <c r="I5" s="11">
        <f>MasaWlasna-MasaOryg</f>
        <v/>
      </c>
      <c r="K5" s="7" t="inlineStr">
        <is>
          <t>Wsp. skali</t>
        </is>
      </c>
      <c r="M5" s="29">
        <f>IFERROR(MasaDocelowa/MasaWlasna,0)</f>
        <v/>
      </c>
    </row>
    <row r="6" ht="6" customHeight="1">
      <c r="A6" s="24" t="n"/>
    </row>
    <row r="7">
      <c r="A7" s="25" t="inlineStr">
        <is>
          <t>Kolumny złote: SYSTEM, NR, ILOŚĆ WŁASNA, UWAGI. Kliknij NR PIGMENTU — lista z bazy SYSTEM w tym wierszu (można mieszać AUTOCOLOR i DUXONE). ILOŚĆ DO ZWAŻENIA = ilość własna × masa docelowa / masa własna (przeliczenie na 100 g / 500 g / 1 kg / dowolna). STATUS: BEZ ZMIAN / ZWIĘKSZONO / ZMNIEJSZONO / DODANO / USUNIĘTO. Usunięcie = ilość własna 0 przy ilości oryginalnej &gt; 0.</t>
        </is>
      </c>
    </row>
    <row r="8"/>
    <row r="11" ht="32" customHeight="1">
      <c r="A11" s="26" t="inlineStr">
        <is>
          <t>LP</t>
        </is>
      </c>
      <c r="B11" s="26" t="inlineStr">
        <is>
          <t>SYSTEM</t>
        </is>
      </c>
      <c r="C11" s="26" t="inlineStr">
        <is>
          <t>NR PIGMENTU</t>
        </is>
      </c>
      <c r="D11" s="26" t="inlineStr">
        <is>
          <t>NAZWA PIGMENTU</t>
        </is>
      </c>
      <c r="E11" s="26" t="inlineStr">
        <is>
          <t>ILOŚĆ ORYGINALNA</t>
        </is>
      </c>
      <c r="F11" s="26" t="inlineStr">
        <is>
          <t>ILOŚĆ WŁASNA</t>
        </is>
      </c>
      <c r="G11" s="26" t="inlineStr">
        <is>
          <t>RÓŻNICA</t>
        </is>
      </c>
      <c r="H11" s="26" t="inlineStr">
        <is>
          <t>ZMIANA %</t>
        </is>
      </c>
      <c r="I11" s="26" t="inlineStr">
        <is>
          <t>% W RECEPTURZE ORYGINALNEJ</t>
        </is>
      </c>
      <c r="J11" s="26" t="inlineStr">
        <is>
          <t>% W RECEPTURZE WŁASNEJ</t>
        </is>
      </c>
      <c r="K11" s="26" t="inlineStr">
        <is>
          <t>STATUS</t>
        </is>
      </c>
      <c r="L11" s="26" t="inlineStr">
        <is>
          <t>UWAGI</t>
        </is>
      </c>
      <c r="M11" s="26" t="inlineStr">
        <is>
          <t>ILOŚĆ DO ZWAŻENIA</t>
        </is>
      </c>
      <c r="N11" s="26" t="inlineStr">
        <is>
          <t>KONTROLA</t>
        </is>
      </c>
      <c r="O11" s="26" t="inlineStr">
        <is>
          <t>WALIDACJA BAZY</t>
        </is>
      </c>
      <c r="P11" s="26" t="inlineStr">
        <is>
          <t>KLUCZ</t>
        </is>
      </c>
    </row>
    <row r="12">
      <c r="A12" s="14">
        <f>IF(C12="","",1)</f>
        <v/>
      </c>
      <c r="B12" s="27" t="inlineStr">
        <is>
          <t>AUTOCOLOR</t>
        </is>
      </c>
      <c r="C12" s="27" t="inlineStr">
        <is>
          <t>P425-900</t>
        </is>
      </c>
      <c r="D12" s="14">
        <f>IF(C12="","",IFERROR(VLOOKUP(P12,PigmentyKlucz,4,FALSE),"BRAK W BAZIE"))</f>
        <v/>
      </c>
      <c r="E12" s="30">
        <f>IF(C12="","",IFERROR(SUMIF(RECEPTURA_ORYGINALNA!$I$12:$I$51,P12,RECEPTURA_ORYGINALNA!$E$12:$E$51),0))</f>
        <v/>
      </c>
      <c r="F12" s="31" t="n">
        <v>50</v>
      </c>
      <c r="G12" s="30">
        <f>IF(C12="","",N(F12)-N(E12))</f>
        <v/>
      </c>
      <c r="H12" s="15">
        <f>IF(C12="","",IF(N(E12)=0,IF(N(F12)&gt;0,"",0),IFERROR((N(F12)-N(E12))/N(E12),0)))</f>
        <v/>
      </c>
      <c r="I12" s="15">
        <f>IF(C12="","",IF(MasaOryg=0,"",N(E12)/MasaOryg))</f>
        <v/>
      </c>
      <c r="J12" s="15">
        <f>IF(C12="","",IF(MasaWlasna=0,"",N(F12)/MasaWlasna))</f>
        <v/>
      </c>
      <c r="K12" s="32">
        <f>IF(C12="","",IF(AND(N(E12)&gt;0,N(F12)=0),"USUNIĘTO",IF(AND(N(E12)=0,N(F12)&gt;0),"DODANO",IF(N(F12)&gt;N(E12),"ZWIĘKSZONO",IF(N(F12)&lt;N(E12),"ZMNIEJSZONO","BEZ ZMIAN")))))</f>
        <v/>
      </c>
      <c r="L12" s="8" t="n"/>
      <c r="M12" s="30">
        <f>IF(C12="","",IFERROR(N(F12)*MasaDocelowa/MasaWlasna,0))</f>
        <v/>
      </c>
      <c r="N12" s="32">
        <f>IF(C12="","",IF(COUNTIF($P$12:$P$51,P12)&gt;1,"DUPLIKAT","OK"))</f>
        <v/>
      </c>
      <c r="O12" s="32">
        <f>IF(C12="","",IF(B12="","BRAK SYSTEMU",IF(ISERROR(VLOOKUP(P12,PigmentyKlucz,1,FALSE)),"BRAK W BAZIE","OK")))</f>
        <v/>
      </c>
      <c r="P12" s="14">
        <f>IF(C12="","",B12&amp;"|"&amp;IF(ISNUMBER(FIND(" | ",C12)),TRIM(LEFT(C12,FIND(" | ",C12)-1)),C12))</f>
        <v/>
      </c>
    </row>
    <row r="13">
      <c r="A13" s="14">
        <f>IF(C13="","",2)</f>
        <v/>
      </c>
      <c r="B13" s="27" t="inlineStr">
        <is>
          <t>AUTOCOLOR</t>
        </is>
      </c>
      <c r="C13" s="27" t="inlineStr">
        <is>
          <t>P425-984</t>
        </is>
      </c>
      <c r="D13" s="14">
        <f>IF(C13="","",IFERROR(VLOOKUP(P13,PigmentyKlucz,4,FALSE),"BRAK W BAZIE"))</f>
        <v/>
      </c>
      <c r="E13" s="30">
        <f>IF(C13="","",IFERROR(SUMIF(RECEPTURA_ORYGINALNA!$I$12:$I$51,P13,RECEPTURA_ORYGINALNA!$E$12:$E$51),0))</f>
        <v/>
      </c>
      <c r="F13" s="31" t="n">
        <v>30</v>
      </c>
      <c r="G13" s="30">
        <f>IF(C13="","",N(F13)-N(E13))</f>
        <v/>
      </c>
      <c r="H13" s="15">
        <f>IF(C13="","",IF(N(E13)=0,IF(N(F13)&gt;0,"",0),IFERROR((N(F13)-N(E13))/N(E13),0)))</f>
        <v/>
      </c>
      <c r="I13" s="15">
        <f>IF(C13="","",IF(MasaOryg=0,"",N(E13)/MasaOryg))</f>
        <v/>
      </c>
      <c r="J13" s="15">
        <f>IF(C13="","",IF(MasaWlasna=0,"",N(F13)/MasaWlasna))</f>
        <v/>
      </c>
      <c r="K13" s="32">
        <f>IF(C13="","",IF(AND(N(E13)&gt;0,N(F13)=0),"USUNIĘTO",IF(AND(N(E13)=0,N(F13)&gt;0),"DODANO",IF(N(F13)&gt;N(E13),"ZWIĘKSZONO",IF(N(F13)&lt;N(E13),"ZMNIEJSZONO","BEZ ZMIAN")))))</f>
        <v/>
      </c>
      <c r="L13" s="8" t="n"/>
      <c r="M13" s="30">
        <f>IF(C13="","",IFERROR(N(F13)*MasaDocelowa/MasaWlasna,0))</f>
        <v/>
      </c>
      <c r="N13" s="32">
        <f>IF(C13="","",IF(COUNTIF($P$12:$P$51,P13)&gt;1,"DUPLIKAT","OK"))</f>
        <v/>
      </c>
      <c r="O13" s="32">
        <f>IF(C13="","",IF(B13="","BRAK SYSTEMU",IF(ISERROR(VLOOKUP(P13,PigmentyKlucz,1,FALSE)),"BRAK W BAZIE","OK")))</f>
        <v/>
      </c>
      <c r="P13" s="14">
        <f>IF(C13="","",B13&amp;"|"&amp;IF(ISNUMBER(FIND(" | ",C13)),TRIM(LEFT(C13,FIND(" | ",C13)-1)),C13))</f>
        <v/>
      </c>
    </row>
    <row r="14">
      <c r="A14" s="14">
        <f>IF(C14="","",3)</f>
        <v/>
      </c>
      <c r="B14" s="27" t="inlineStr">
        <is>
          <t>AUTOCOLOR</t>
        </is>
      </c>
      <c r="C14" s="27" t="inlineStr">
        <is>
          <t>P425-948</t>
        </is>
      </c>
      <c r="D14" s="14">
        <f>IF(C14="","",IFERROR(VLOOKUP(P14,PigmentyKlucz,4,FALSE),"BRAK W BAZIE"))</f>
        <v/>
      </c>
      <c r="E14" s="30">
        <f>IF(C14="","",IFERROR(SUMIF(RECEPTURA_ORYGINALNA!$I$12:$I$51,P14,RECEPTURA_ORYGINALNA!$E$12:$E$51),0))</f>
        <v/>
      </c>
      <c r="F14" s="31" t="n">
        <v>20</v>
      </c>
      <c r="G14" s="30">
        <f>IF(C14="","",N(F14)-N(E14))</f>
        <v/>
      </c>
      <c r="H14" s="15">
        <f>IF(C14="","",IF(N(E14)=0,IF(N(F14)&gt;0,"",0),IFERROR((N(F14)-N(E14))/N(E14),0)))</f>
        <v/>
      </c>
      <c r="I14" s="15">
        <f>IF(C14="","",IF(MasaOryg=0,"",N(E14)/MasaOryg))</f>
        <v/>
      </c>
      <c r="J14" s="15">
        <f>IF(C14="","",IF(MasaWlasna=0,"",N(F14)/MasaWlasna))</f>
        <v/>
      </c>
      <c r="K14" s="32">
        <f>IF(C14="","",IF(AND(N(E14)&gt;0,N(F14)=0),"USUNIĘTO",IF(AND(N(E14)=0,N(F14)&gt;0),"DODANO",IF(N(F14)&gt;N(E14),"ZWIĘKSZONO",IF(N(F14)&lt;N(E14),"ZMNIEJSZONO","BEZ ZMIAN")))))</f>
        <v/>
      </c>
      <c r="L14" s="8" t="n"/>
      <c r="M14" s="30">
        <f>IF(C14="","",IFERROR(N(F14)*MasaDocelowa/MasaWlasna,0))</f>
        <v/>
      </c>
      <c r="N14" s="32">
        <f>IF(C14="","",IF(COUNTIF($P$12:$P$51,P14)&gt;1,"DUPLIKAT","OK"))</f>
        <v/>
      </c>
      <c r="O14" s="32">
        <f>IF(C14="","",IF(B14="","BRAK SYSTEMU",IF(ISERROR(VLOOKUP(P14,PigmentyKlucz,1,FALSE)),"BRAK W BAZIE","OK")))</f>
        <v/>
      </c>
      <c r="P14" s="14">
        <f>IF(C14="","",B14&amp;"|"&amp;IF(ISNUMBER(FIND(" | ",C14)),TRIM(LEFT(C14,FIND(" | ",C14)-1)),C14))</f>
        <v/>
      </c>
    </row>
    <row r="15">
      <c r="A15" s="14">
        <f>IF(C15="","",4)</f>
        <v/>
      </c>
      <c r="B15" s="27" t="n"/>
      <c r="C15" s="27" t="n"/>
      <c r="D15" s="14">
        <f>IF(C15="","",IFERROR(VLOOKUP(P15,PigmentyKlucz,4,FALSE),"BRAK W BAZIE"))</f>
        <v/>
      </c>
      <c r="E15" s="30">
        <f>IF(C15="","",IFERROR(SUMIF(RECEPTURA_ORYGINALNA!$I$12:$I$51,P15,RECEPTURA_ORYGINALNA!$E$12:$E$51),0))</f>
        <v/>
      </c>
      <c r="F15" s="31" t="n"/>
      <c r="G15" s="30">
        <f>IF(C15="","",N(F15)-N(E15))</f>
        <v/>
      </c>
      <c r="H15" s="15">
        <f>IF(C15="","",IF(N(E15)=0,IF(N(F15)&gt;0,"",0),IFERROR((N(F15)-N(E15))/N(E15),0)))</f>
        <v/>
      </c>
      <c r="I15" s="15">
        <f>IF(C15="","",IF(MasaOryg=0,"",N(E15)/MasaOryg))</f>
        <v/>
      </c>
      <c r="J15" s="15">
        <f>IF(C15="","",IF(MasaWlasna=0,"",N(F15)/MasaWlasna))</f>
        <v/>
      </c>
      <c r="K15" s="32">
        <f>IF(C15="","",IF(AND(N(E15)&gt;0,N(F15)=0),"USUNIĘTO",IF(AND(N(E15)=0,N(F15)&gt;0),"DODANO",IF(N(F15)&gt;N(E15),"ZWIĘKSZONO",IF(N(F15)&lt;N(E15),"ZMNIEJSZONO","BEZ ZMIAN")))))</f>
        <v/>
      </c>
      <c r="L15" s="8" t="n"/>
      <c r="M15" s="30">
        <f>IF(C15="","",IFERROR(N(F15)*MasaDocelowa/MasaWlasna,0))</f>
        <v/>
      </c>
      <c r="N15" s="32">
        <f>IF(C15="","",IF(COUNTIF($P$12:$P$51,P15)&gt;1,"DUPLIKAT","OK"))</f>
        <v/>
      </c>
      <c r="O15" s="32">
        <f>IF(C15="","",IF(B15="","BRAK SYSTEMU",IF(ISERROR(VLOOKUP(P15,PigmentyKlucz,1,FALSE)),"BRAK W BAZIE","OK")))</f>
        <v/>
      </c>
      <c r="P15" s="14">
        <f>IF(C15="","",B15&amp;"|"&amp;IF(ISNUMBER(FIND(" | ",C15)),TRIM(LEFT(C15,FIND(" | ",C15)-1)),C15))</f>
        <v/>
      </c>
    </row>
    <row r="16">
      <c r="A16" s="14">
        <f>IF(C16="","",5)</f>
        <v/>
      </c>
      <c r="B16" s="27" t="n"/>
      <c r="C16" s="27" t="n"/>
      <c r="D16" s="14">
        <f>IF(C16="","",IFERROR(VLOOKUP(P16,PigmentyKlucz,4,FALSE),"BRAK W BAZIE"))</f>
        <v/>
      </c>
      <c r="E16" s="30">
        <f>IF(C16="","",IFERROR(SUMIF(RECEPTURA_ORYGINALNA!$I$12:$I$51,P16,RECEPTURA_ORYGINALNA!$E$12:$E$51),0))</f>
        <v/>
      </c>
      <c r="F16" s="31" t="n"/>
      <c r="G16" s="30">
        <f>IF(C16="","",N(F16)-N(E16))</f>
        <v/>
      </c>
      <c r="H16" s="15">
        <f>IF(C16="","",IF(N(E16)=0,IF(N(F16)&gt;0,"",0),IFERROR((N(F16)-N(E16))/N(E16),0)))</f>
        <v/>
      </c>
      <c r="I16" s="15">
        <f>IF(C16="","",IF(MasaOryg=0,"",N(E16)/MasaOryg))</f>
        <v/>
      </c>
      <c r="J16" s="15">
        <f>IF(C16="","",IF(MasaWlasna=0,"",N(F16)/MasaWlasna))</f>
        <v/>
      </c>
      <c r="K16" s="32">
        <f>IF(C16="","",IF(AND(N(E16)&gt;0,N(F16)=0),"USUNIĘTO",IF(AND(N(E16)=0,N(F16)&gt;0),"DODANO",IF(N(F16)&gt;N(E16),"ZWIĘKSZONO",IF(N(F16)&lt;N(E16),"ZMNIEJSZONO","BEZ ZMIAN")))))</f>
        <v/>
      </c>
      <c r="L16" s="8" t="n"/>
      <c r="M16" s="30">
        <f>IF(C16="","",IFERROR(N(F16)*MasaDocelowa/MasaWlasna,0))</f>
        <v/>
      </c>
      <c r="N16" s="32">
        <f>IF(C16="","",IF(COUNTIF($P$12:$P$51,P16)&gt;1,"DUPLIKAT","OK"))</f>
        <v/>
      </c>
      <c r="O16" s="32">
        <f>IF(C16="","",IF(B16="","BRAK SYSTEMU",IF(ISERROR(VLOOKUP(P16,PigmentyKlucz,1,FALSE)),"BRAK W BAZIE","OK")))</f>
        <v/>
      </c>
      <c r="P16" s="14">
        <f>IF(C16="","",B16&amp;"|"&amp;IF(ISNUMBER(FIND(" | ",C16)),TRIM(LEFT(C16,FIND(" | ",C16)-1)),C16))</f>
        <v/>
      </c>
    </row>
    <row r="17">
      <c r="A17" s="14">
        <f>IF(C17="","",6)</f>
        <v/>
      </c>
      <c r="B17" s="27" t="n"/>
      <c r="C17" s="27" t="n"/>
      <c r="D17" s="14">
        <f>IF(C17="","",IFERROR(VLOOKUP(P17,PigmentyKlucz,4,FALSE),"BRAK W BAZIE"))</f>
        <v/>
      </c>
      <c r="E17" s="30">
        <f>IF(C17="","",IFERROR(SUMIF(RECEPTURA_ORYGINALNA!$I$12:$I$51,P17,RECEPTURA_ORYGINALNA!$E$12:$E$51),0))</f>
        <v/>
      </c>
      <c r="F17" s="31" t="n"/>
      <c r="G17" s="30">
        <f>IF(C17="","",N(F17)-N(E17))</f>
        <v/>
      </c>
      <c r="H17" s="15">
        <f>IF(C17="","",IF(N(E17)=0,IF(N(F17)&gt;0,"",0),IFERROR((N(F17)-N(E17))/N(E17),0)))</f>
        <v/>
      </c>
      <c r="I17" s="15">
        <f>IF(C17="","",IF(MasaOryg=0,"",N(E17)/MasaOryg))</f>
        <v/>
      </c>
      <c r="J17" s="15">
        <f>IF(C17="","",IF(MasaWlasna=0,"",N(F17)/MasaWlasna))</f>
        <v/>
      </c>
      <c r="K17" s="32">
        <f>IF(C17="","",IF(AND(N(E17)&gt;0,N(F17)=0),"USUNIĘTO",IF(AND(N(E17)=0,N(F17)&gt;0),"DODANO",IF(N(F17)&gt;N(E17),"ZWIĘKSZONO",IF(N(F17)&lt;N(E17),"ZMNIEJSZONO","BEZ ZMIAN")))))</f>
        <v/>
      </c>
      <c r="L17" s="8" t="n"/>
      <c r="M17" s="30">
        <f>IF(C17="","",IFERROR(N(F17)*MasaDocelowa/MasaWlasna,0))</f>
        <v/>
      </c>
      <c r="N17" s="32">
        <f>IF(C17="","",IF(COUNTIF($P$12:$P$51,P17)&gt;1,"DUPLIKAT","OK"))</f>
        <v/>
      </c>
      <c r="O17" s="32">
        <f>IF(C17="","",IF(B17="","BRAK SYSTEMU",IF(ISERROR(VLOOKUP(P17,PigmentyKlucz,1,FALSE)),"BRAK W BAZIE","OK")))</f>
        <v/>
      </c>
      <c r="P17" s="14">
        <f>IF(C17="","",B17&amp;"|"&amp;IF(ISNUMBER(FIND(" | ",C17)),TRIM(LEFT(C17,FIND(" | ",C17)-1)),C17))</f>
        <v/>
      </c>
    </row>
    <row r="18">
      <c r="A18" s="14">
        <f>IF(C18="","",7)</f>
        <v/>
      </c>
      <c r="B18" s="27" t="n"/>
      <c r="C18" s="27" t="n"/>
      <c r="D18" s="14">
        <f>IF(C18="","",IFERROR(VLOOKUP(P18,PigmentyKlucz,4,FALSE),"BRAK W BAZIE"))</f>
        <v/>
      </c>
      <c r="E18" s="30">
        <f>IF(C18="","",IFERROR(SUMIF(RECEPTURA_ORYGINALNA!$I$12:$I$51,P18,RECEPTURA_ORYGINALNA!$E$12:$E$51),0))</f>
        <v/>
      </c>
      <c r="F18" s="31" t="n"/>
      <c r="G18" s="30">
        <f>IF(C18="","",N(F18)-N(E18))</f>
        <v/>
      </c>
      <c r="H18" s="15">
        <f>IF(C18="","",IF(N(E18)=0,IF(N(F18)&gt;0,"",0),IFERROR((N(F18)-N(E18))/N(E18),0)))</f>
        <v/>
      </c>
      <c r="I18" s="15">
        <f>IF(C18="","",IF(MasaOryg=0,"",N(E18)/MasaOryg))</f>
        <v/>
      </c>
      <c r="J18" s="15">
        <f>IF(C18="","",IF(MasaWlasna=0,"",N(F18)/MasaWlasna))</f>
        <v/>
      </c>
      <c r="K18" s="32">
        <f>IF(C18="","",IF(AND(N(E18)&gt;0,N(F18)=0),"USUNIĘTO",IF(AND(N(E18)=0,N(F18)&gt;0),"DODANO",IF(N(F18)&gt;N(E18),"ZWIĘKSZONO",IF(N(F18)&lt;N(E18),"ZMNIEJSZONO","BEZ ZMIAN")))))</f>
        <v/>
      </c>
      <c r="L18" s="8" t="n"/>
      <c r="M18" s="30">
        <f>IF(C18="","",IFERROR(N(F18)*MasaDocelowa/MasaWlasna,0))</f>
        <v/>
      </c>
      <c r="N18" s="32">
        <f>IF(C18="","",IF(COUNTIF($P$12:$P$51,P18)&gt;1,"DUPLIKAT","OK"))</f>
        <v/>
      </c>
      <c r="O18" s="32">
        <f>IF(C18="","",IF(B18="","BRAK SYSTEMU",IF(ISERROR(VLOOKUP(P18,PigmentyKlucz,1,FALSE)),"BRAK W BAZIE","OK")))</f>
        <v/>
      </c>
      <c r="P18" s="14">
        <f>IF(C18="","",B18&amp;"|"&amp;IF(ISNUMBER(FIND(" | ",C18)),TRIM(LEFT(C18,FIND(" | ",C18)-1)),C18))</f>
        <v/>
      </c>
    </row>
    <row r="19">
      <c r="A19" s="14">
        <f>IF(C19="","",8)</f>
        <v/>
      </c>
      <c r="B19" s="27" t="n"/>
      <c r="C19" s="27" t="n"/>
      <c r="D19" s="14">
        <f>IF(C19="","",IFERROR(VLOOKUP(P19,PigmentyKlucz,4,FALSE),"BRAK W BAZIE"))</f>
        <v/>
      </c>
      <c r="E19" s="30">
        <f>IF(C19="","",IFERROR(SUMIF(RECEPTURA_ORYGINALNA!$I$12:$I$51,P19,RECEPTURA_ORYGINALNA!$E$12:$E$51),0))</f>
        <v/>
      </c>
      <c r="F19" s="31" t="n"/>
      <c r="G19" s="30">
        <f>IF(C19="","",N(F19)-N(E19))</f>
        <v/>
      </c>
      <c r="H19" s="15">
        <f>IF(C19="","",IF(N(E19)=0,IF(N(F19)&gt;0,"",0),IFERROR((N(F19)-N(E19))/N(E19),0)))</f>
        <v/>
      </c>
      <c r="I19" s="15">
        <f>IF(C19="","",IF(MasaOryg=0,"",N(E19)/MasaOryg))</f>
        <v/>
      </c>
      <c r="J19" s="15">
        <f>IF(C19="","",IF(MasaWlasna=0,"",N(F19)/MasaWlasna))</f>
        <v/>
      </c>
      <c r="K19" s="32">
        <f>IF(C19="","",IF(AND(N(E19)&gt;0,N(F19)=0),"USUNIĘTO",IF(AND(N(E19)=0,N(F19)&gt;0),"DODANO",IF(N(F19)&gt;N(E19),"ZWIĘKSZONO",IF(N(F19)&lt;N(E19),"ZMNIEJSZONO","BEZ ZMIAN")))))</f>
        <v/>
      </c>
      <c r="L19" s="8" t="n"/>
      <c r="M19" s="30">
        <f>IF(C19="","",IFERROR(N(F19)*MasaDocelowa/MasaWlasna,0))</f>
        <v/>
      </c>
      <c r="N19" s="32">
        <f>IF(C19="","",IF(COUNTIF($P$12:$P$51,P19)&gt;1,"DUPLIKAT","OK"))</f>
        <v/>
      </c>
      <c r="O19" s="32">
        <f>IF(C19="","",IF(B19="","BRAK SYSTEMU",IF(ISERROR(VLOOKUP(P19,PigmentyKlucz,1,FALSE)),"BRAK W BAZIE","OK")))</f>
        <v/>
      </c>
      <c r="P19" s="14">
        <f>IF(C19="","",B19&amp;"|"&amp;IF(ISNUMBER(FIND(" | ",C19)),TRIM(LEFT(C19,FIND(" | ",C19)-1)),C19))</f>
        <v/>
      </c>
    </row>
    <row r="20">
      <c r="A20" s="14">
        <f>IF(C20="","",9)</f>
        <v/>
      </c>
      <c r="B20" s="27" t="n"/>
      <c r="C20" s="27" t="n"/>
      <c r="D20" s="14">
        <f>IF(C20="","",IFERROR(VLOOKUP(P20,PigmentyKlucz,4,FALSE),"BRAK W BAZIE"))</f>
        <v/>
      </c>
      <c r="E20" s="30">
        <f>IF(C20="","",IFERROR(SUMIF(RECEPTURA_ORYGINALNA!$I$12:$I$51,P20,RECEPTURA_ORYGINALNA!$E$12:$E$51),0))</f>
        <v/>
      </c>
      <c r="F20" s="31" t="n"/>
      <c r="G20" s="30">
        <f>IF(C20="","",N(F20)-N(E20))</f>
        <v/>
      </c>
      <c r="H20" s="15">
        <f>IF(C20="","",IF(N(E20)=0,IF(N(F20)&gt;0,"",0),IFERROR((N(F20)-N(E20))/N(E20),0)))</f>
        <v/>
      </c>
      <c r="I20" s="15">
        <f>IF(C20="","",IF(MasaOryg=0,"",N(E20)/MasaOryg))</f>
        <v/>
      </c>
      <c r="J20" s="15">
        <f>IF(C20="","",IF(MasaWlasna=0,"",N(F20)/MasaWlasna))</f>
        <v/>
      </c>
      <c r="K20" s="32">
        <f>IF(C20="","",IF(AND(N(E20)&gt;0,N(F20)=0),"USUNIĘTO",IF(AND(N(E20)=0,N(F20)&gt;0),"DODANO",IF(N(F20)&gt;N(E20),"ZWIĘKSZONO",IF(N(F20)&lt;N(E20),"ZMNIEJSZONO","BEZ ZMIAN")))))</f>
        <v/>
      </c>
      <c r="L20" s="8" t="n"/>
      <c r="M20" s="30">
        <f>IF(C20="","",IFERROR(N(F20)*MasaDocelowa/MasaWlasna,0))</f>
        <v/>
      </c>
      <c r="N20" s="32">
        <f>IF(C20="","",IF(COUNTIF($P$12:$P$51,P20)&gt;1,"DUPLIKAT","OK"))</f>
        <v/>
      </c>
      <c r="O20" s="32">
        <f>IF(C20="","",IF(B20="","BRAK SYSTEMU",IF(ISERROR(VLOOKUP(P20,PigmentyKlucz,1,FALSE)),"BRAK W BAZIE","OK")))</f>
        <v/>
      </c>
      <c r="P20" s="14">
        <f>IF(C20="","",B20&amp;"|"&amp;IF(ISNUMBER(FIND(" | ",C20)),TRIM(LEFT(C20,FIND(" | ",C20)-1)),C20))</f>
        <v/>
      </c>
    </row>
    <row r="21">
      <c r="A21" s="14">
        <f>IF(C21="","",10)</f>
        <v/>
      </c>
      <c r="B21" s="27" t="n"/>
      <c r="C21" s="27" t="n"/>
      <c r="D21" s="14">
        <f>IF(C21="","",IFERROR(VLOOKUP(P21,PigmentyKlucz,4,FALSE),"BRAK W BAZIE"))</f>
        <v/>
      </c>
      <c r="E21" s="30">
        <f>IF(C21="","",IFERROR(SUMIF(RECEPTURA_ORYGINALNA!$I$12:$I$51,P21,RECEPTURA_ORYGINALNA!$E$12:$E$51),0))</f>
        <v/>
      </c>
      <c r="F21" s="31" t="n"/>
      <c r="G21" s="30">
        <f>IF(C21="","",N(F21)-N(E21))</f>
        <v/>
      </c>
      <c r="H21" s="15">
        <f>IF(C21="","",IF(N(E21)=0,IF(N(F21)&gt;0,"",0),IFERROR((N(F21)-N(E21))/N(E21),0)))</f>
        <v/>
      </c>
      <c r="I21" s="15">
        <f>IF(C21="","",IF(MasaOryg=0,"",N(E21)/MasaOryg))</f>
        <v/>
      </c>
      <c r="J21" s="15">
        <f>IF(C21="","",IF(MasaWlasna=0,"",N(F21)/MasaWlasna))</f>
        <v/>
      </c>
      <c r="K21" s="32">
        <f>IF(C21="","",IF(AND(N(E21)&gt;0,N(F21)=0),"USUNIĘTO",IF(AND(N(E21)=0,N(F21)&gt;0),"DODANO",IF(N(F21)&gt;N(E21),"ZWIĘKSZONO",IF(N(F21)&lt;N(E21),"ZMNIEJSZONO","BEZ ZMIAN")))))</f>
        <v/>
      </c>
      <c r="L21" s="8" t="n"/>
      <c r="M21" s="30">
        <f>IF(C21="","",IFERROR(N(F21)*MasaDocelowa/MasaWlasna,0))</f>
        <v/>
      </c>
      <c r="N21" s="32">
        <f>IF(C21="","",IF(COUNTIF($P$12:$P$51,P21)&gt;1,"DUPLIKAT","OK"))</f>
        <v/>
      </c>
      <c r="O21" s="32">
        <f>IF(C21="","",IF(B21="","BRAK SYSTEMU",IF(ISERROR(VLOOKUP(P21,PigmentyKlucz,1,FALSE)),"BRAK W BAZIE","OK")))</f>
        <v/>
      </c>
      <c r="P21" s="14">
        <f>IF(C21="","",B21&amp;"|"&amp;IF(ISNUMBER(FIND(" | ",C21)),TRIM(LEFT(C21,FIND(" | ",C21)-1)),C21))</f>
        <v/>
      </c>
    </row>
    <row r="22">
      <c r="A22" s="14">
        <f>IF(C22="","",11)</f>
        <v/>
      </c>
      <c r="B22" s="27" t="n"/>
      <c r="C22" s="27" t="n"/>
      <c r="D22" s="14">
        <f>IF(C22="","",IFERROR(VLOOKUP(P22,PigmentyKlucz,4,FALSE),"BRAK W BAZIE"))</f>
        <v/>
      </c>
      <c r="E22" s="30">
        <f>IF(C22="","",IFERROR(SUMIF(RECEPTURA_ORYGINALNA!$I$12:$I$51,P22,RECEPTURA_ORYGINALNA!$E$12:$E$51),0))</f>
        <v/>
      </c>
      <c r="F22" s="31" t="n"/>
      <c r="G22" s="30">
        <f>IF(C22="","",N(F22)-N(E22))</f>
        <v/>
      </c>
      <c r="H22" s="15">
        <f>IF(C22="","",IF(N(E22)=0,IF(N(F22)&gt;0,"",0),IFERROR((N(F22)-N(E22))/N(E22),0)))</f>
        <v/>
      </c>
      <c r="I22" s="15">
        <f>IF(C22="","",IF(MasaOryg=0,"",N(E22)/MasaOryg))</f>
        <v/>
      </c>
      <c r="J22" s="15">
        <f>IF(C22="","",IF(MasaWlasna=0,"",N(F22)/MasaWlasna))</f>
        <v/>
      </c>
      <c r="K22" s="32">
        <f>IF(C22="","",IF(AND(N(E22)&gt;0,N(F22)=0),"USUNIĘTO",IF(AND(N(E22)=0,N(F22)&gt;0),"DODANO",IF(N(F22)&gt;N(E22),"ZWIĘKSZONO",IF(N(F22)&lt;N(E22),"ZMNIEJSZONO","BEZ ZMIAN")))))</f>
        <v/>
      </c>
      <c r="L22" s="8" t="n"/>
      <c r="M22" s="30">
        <f>IF(C22="","",IFERROR(N(F22)*MasaDocelowa/MasaWlasna,0))</f>
        <v/>
      </c>
      <c r="N22" s="32">
        <f>IF(C22="","",IF(COUNTIF($P$12:$P$51,P22)&gt;1,"DUPLIKAT","OK"))</f>
        <v/>
      </c>
      <c r="O22" s="32">
        <f>IF(C22="","",IF(B22="","BRAK SYSTEMU",IF(ISERROR(VLOOKUP(P22,PigmentyKlucz,1,FALSE)),"BRAK W BAZIE","OK")))</f>
        <v/>
      </c>
      <c r="P22" s="14">
        <f>IF(C22="","",B22&amp;"|"&amp;IF(ISNUMBER(FIND(" | ",C22)),TRIM(LEFT(C22,FIND(" | ",C22)-1)),C22))</f>
        <v/>
      </c>
    </row>
    <row r="23">
      <c r="A23" s="14">
        <f>IF(C23="","",12)</f>
        <v/>
      </c>
      <c r="B23" s="27" t="n"/>
      <c r="C23" s="27" t="n"/>
      <c r="D23" s="14">
        <f>IF(C23="","",IFERROR(VLOOKUP(P23,PigmentyKlucz,4,FALSE),"BRAK W BAZIE"))</f>
        <v/>
      </c>
      <c r="E23" s="30">
        <f>IF(C23="","",IFERROR(SUMIF(RECEPTURA_ORYGINALNA!$I$12:$I$51,P23,RECEPTURA_ORYGINALNA!$E$12:$E$51),0))</f>
        <v/>
      </c>
      <c r="F23" s="31" t="n"/>
      <c r="G23" s="30">
        <f>IF(C23="","",N(F23)-N(E23))</f>
        <v/>
      </c>
      <c r="H23" s="15">
        <f>IF(C23="","",IF(N(E23)=0,IF(N(F23)&gt;0,"",0),IFERROR((N(F23)-N(E23))/N(E23),0)))</f>
        <v/>
      </c>
      <c r="I23" s="15">
        <f>IF(C23="","",IF(MasaOryg=0,"",N(E23)/MasaOryg))</f>
        <v/>
      </c>
      <c r="J23" s="15">
        <f>IF(C23="","",IF(MasaWlasna=0,"",N(F23)/MasaWlasna))</f>
        <v/>
      </c>
      <c r="K23" s="32">
        <f>IF(C23="","",IF(AND(N(E23)&gt;0,N(F23)=0),"USUNIĘTO",IF(AND(N(E23)=0,N(F23)&gt;0),"DODANO",IF(N(F23)&gt;N(E23),"ZWIĘKSZONO",IF(N(F23)&lt;N(E23),"ZMNIEJSZONO","BEZ ZMIAN")))))</f>
        <v/>
      </c>
      <c r="L23" s="8" t="n"/>
      <c r="M23" s="30">
        <f>IF(C23="","",IFERROR(N(F23)*MasaDocelowa/MasaWlasna,0))</f>
        <v/>
      </c>
      <c r="N23" s="32">
        <f>IF(C23="","",IF(COUNTIF($P$12:$P$51,P23)&gt;1,"DUPLIKAT","OK"))</f>
        <v/>
      </c>
      <c r="O23" s="32">
        <f>IF(C23="","",IF(B23="","BRAK SYSTEMU",IF(ISERROR(VLOOKUP(P23,PigmentyKlucz,1,FALSE)),"BRAK W BAZIE","OK")))</f>
        <v/>
      </c>
      <c r="P23" s="14">
        <f>IF(C23="","",B23&amp;"|"&amp;IF(ISNUMBER(FIND(" | ",C23)),TRIM(LEFT(C23,FIND(" | ",C23)-1)),C23))</f>
        <v/>
      </c>
    </row>
    <row r="24">
      <c r="A24" s="14">
        <f>IF(C24="","",13)</f>
        <v/>
      </c>
      <c r="B24" s="27" t="n"/>
      <c r="C24" s="27" t="n"/>
      <c r="D24" s="14">
        <f>IF(C24="","",IFERROR(VLOOKUP(P24,PigmentyKlucz,4,FALSE),"BRAK W BAZIE"))</f>
        <v/>
      </c>
      <c r="E24" s="30">
        <f>IF(C24="","",IFERROR(SUMIF(RECEPTURA_ORYGINALNA!$I$12:$I$51,P24,RECEPTURA_ORYGINALNA!$E$12:$E$51),0))</f>
        <v/>
      </c>
      <c r="F24" s="31" t="n"/>
      <c r="G24" s="30">
        <f>IF(C24="","",N(F24)-N(E24))</f>
        <v/>
      </c>
      <c r="H24" s="15">
        <f>IF(C24="","",IF(N(E24)=0,IF(N(F24)&gt;0,"",0),IFERROR((N(F24)-N(E24))/N(E24),0)))</f>
        <v/>
      </c>
      <c r="I24" s="15">
        <f>IF(C24="","",IF(MasaOryg=0,"",N(E24)/MasaOryg))</f>
        <v/>
      </c>
      <c r="J24" s="15">
        <f>IF(C24="","",IF(MasaWlasna=0,"",N(F24)/MasaWlasna))</f>
        <v/>
      </c>
      <c r="K24" s="32">
        <f>IF(C24="","",IF(AND(N(E24)&gt;0,N(F24)=0),"USUNIĘTO",IF(AND(N(E24)=0,N(F24)&gt;0),"DODANO",IF(N(F24)&gt;N(E24),"ZWIĘKSZONO",IF(N(F24)&lt;N(E24),"ZMNIEJSZONO","BEZ ZMIAN")))))</f>
        <v/>
      </c>
      <c r="L24" s="8" t="n"/>
      <c r="M24" s="30">
        <f>IF(C24="","",IFERROR(N(F24)*MasaDocelowa/MasaWlasna,0))</f>
        <v/>
      </c>
      <c r="N24" s="32">
        <f>IF(C24="","",IF(COUNTIF($P$12:$P$51,P24)&gt;1,"DUPLIKAT","OK"))</f>
        <v/>
      </c>
      <c r="O24" s="32">
        <f>IF(C24="","",IF(B24="","BRAK SYSTEMU",IF(ISERROR(VLOOKUP(P24,PigmentyKlucz,1,FALSE)),"BRAK W BAZIE","OK")))</f>
        <v/>
      </c>
      <c r="P24" s="14">
        <f>IF(C24="","",B24&amp;"|"&amp;IF(ISNUMBER(FIND(" | ",C24)),TRIM(LEFT(C24,FIND(" | ",C24)-1)),C24))</f>
        <v/>
      </c>
    </row>
    <row r="25">
      <c r="A25" s="14">
        <f>IF(C25="","",14)</f>
        <v/>
      </c>
      <c r="B25" s="27" t="n"/>
      <c r="C25" s="27" t="n"/>
      <c r="D25" s="14">
        <f>IF(C25="","",IFERROR(VLOOKUP(P25,PigmentyKlucz,4,FALSE),"BRAK W BAZIE"))</f>
        <v/>
      </c>
      <c r="E25" s="30">
        <f>IF(C25="","",IFERROR(SUMIF(RECEPTURA_ORYGINALNA!$I$12:$I$51,P25,RECEPTURA_ORYGINALNA!$E$12:$E$51),0))</f>
        <v/>
      </c>
      <c r="F25" s="31" t="n"/>
      <c r="G25" s="30">
        <f>IF(C25="","",N(F25)-N(E25))</f>
        <v/>
      </c>
      <c r="H25" s="15">
        <f>IF(C25="","",IF(N(E25)=0,IF(N(F25)&gt;0,"",0),IFERROR((N(F25)-N(E25))/N(E25),0)))</f>
        <v/>
      </c>
      <c r="I25" s="15">
        <f>IF(C25="","",IF(MasaOryg=0,"",N(E25)/MasaOryg))</f>
        <v/>
      </c>
      <c r="J25" s="15">
        <f>IF(C25="","",IF(MasaWlasna=0,"",N(F25)/MasaWlasna))</f>
        <v/>
      </c>
      <c r="K25" s="32">
        <f>IF(C25="","",IF(AND(N(E25)&gt;0,N(F25)=0),"USUNIĘTO",IF(AND(N(E25)=0,N(F25)&gt;0),"DODANO",IF(N(F25)&gt;N(E25),"ZWIĘKSZONO",IF(N(F25)&lt;N(E25),"ZMNIEJSZONO","BEZ ZMIAN")))))</f>
        <v/>
      </c>
      <c r="L25" s="8" t="n"/>
      <c r="M25" s="30">
        <f>IF(C25="","",IFERROR(N(F25)*MasaDocelowa/MasaWlasna,0))</f>
        <v/>
      </c>
      <c r="N25" s="32">
        <f>IF(C25="","",IF(COUNTIF($P$12:$P$51,P25)&gt;1,"DUPLIKAT","OK"))</f>
        <v/>
      </c>
      <c r="O25" s="32">
        <f>IF(C25="","",IF(B25="","BRAK SYSTEMU",IF(ISERROR(VLOOKUP(P25,PigmentyKlucz,1,FALSE)),"BRAK W BAZIE","OK")))</f>
        <v/>
      </c>
      <c r="P25" s="14">
        <f>IF(C25="","",B25&amp;"|"&amp;IF(ISNUMBER(FIND(" | ",C25)),TRIM(LEFT(C25,FIND(" | ",C25)-1)),C25))</f>
        <v/>
      </c>
    </row>
    <row r="26">
      <c r="A26" s="14">
        <f>IF(C26="","",15)</f>
        <v/>
      </c>
      <c r="B26" s="27" t="n"/>
      <c r="C26" s="27" t="n"/>
      <c r="D26" s="14">
        <f>IF(C26="","",IFERROR(VLOOKUP(P26,PigmentyKlucz,4,FALSE),"BRAK W BAZIE"))</f>
        <v/>
      </c>
      <c r="E26" s="30">
        <f>IF(C26="","",IFERROR(SUMIF(RECEPTURA_ORYGINALNA!$I$12:$I$51,P26,RECEPTURA_ORYGINALNA!$E$12:$E$51),0))</f>
        <v/>
      </c>
      <c r="F26" s="31" t="n"/>
      <c r="G26" s="30">
        <f>IF(C26="","",N(F26)-N(E26))</f>
        <v/>
      </c>
      <c r="H26" s="15">
        <f>IF(C26="","",IF(N(E26)=0,IF(N(F26)&gt;0,"",0),IFERROR((N(F26)-N(E26))/N(E26),0)))</f>
        <v/>
      </c>
      <c r="I26" s="15">
        <f>IF(C26="","",IF(MasaOryg=0,"",N(E26)/MasaOryg))</f>
        <v/>
      </c>
      <c r="J26" s="15">
        <f>IF(C26="","",IF(MasaWlasna=0,"",N(F26)/MasaWlasna))</f>
        <v/>
      </c>
      <c r="K26" s="32">
        <f>IF(C26="","",IF(AND(N(E26)&gt;0,N(F26)=0),"USUNIĘTO",IF(AND(N(E26)=0,N(F26)&gt;0),"DODANO",IF(N(F26)&gt;N(E26),"ZWIĘKSZONO",IF(N(F26)&lt;N(E26),"ZMNIEJSZONO","BEZ ZMIAN")))))</f>
        <v/>
      </c>
      <c r="L26" s="8" t="n"/>
      <c r="M26" s="30">
        <f>IF(C26="","",IFERROR(N(F26)*MasaDocelowa/MasaWlasna,0))</f>
        <v/>
      </c>
      <c r="N26" s="32">
        <f>IF(C26="","",IF(COUNTIF($P$12:$P$51,P26)&gt;1,"DUPLIKAT","OK"))</f>
        <v/>
      </c>
      <c r="O26" s="32">
        <f>IF(C26="","",IF(B26="","BRAK SYSTEMU",IF(ISERROR(VLOOKUP(P26,PigmentyKlucz,1,FALSE)),"BRAK W BAZIE","OK")))</f>
        <v/>
      </c>
      <c r="P26" s="14">
        <f>IF(C26="","",B26&amp;"|"&amp;IF(ISNUMBER(FIND(" | ",C26)),TRIM(LEFT(C26,FIND(" | ",C26)-1)),C26))</f>
        <v/>
      </c>
    </row>
    <row r="27">
      <c r="A27" s="14">
        <f>IF(C27="","",16)</f>
        <v/>
      </c>
      <c r="B27" s="27" t="n"/>
      <c r="C27" s="27" t="n"/>
      <c r="D27" s="14">
        <f>IF(C27="","",IFERROR(VLOOKUP(P27,PigmentyKlucz,4,FALSE),"BRAK W BAZIE"))</f>
        <v/>
      </c>
      <c r="E27" s="30">
        <f>IF(C27="","",IFERROR(SUMIF(RECEPTURA_ORYGINALNA!$I$12:$I$51,P27,RECEPTURA_ORYGINALNA!$E$12:$E$51),0))</f>
        <v/>
      </c>
      <c r="F27" s="31" t="n"/>
      <c r="G27" s="30">
        <f>IF(C27="","",N(F27)-N(E27))</f>
        <v/>
      </c>
      <c r="H27" s="15">
        <f>IF(C27="","",IF(N(E27)=0,IF(N(F27)&gt;0,"",0),IFERROR((N(F27)-N(E27))/N(E27),0)))</f>
        <v/>
      </c>
      <c r="I27" s="15">
        <f>IF(C27="","",IF(MasaOryg=0,"",N(E27)/MasaOryg))</f>
        <v/>
      </c>
      <c r="J27" s="15">
        <f>IF(C27="","",IF(MasaWlasna=0,"",N(F27)/MasaWlasna))</f>
        <v/>
      </c>
      <c r="K27" s="32">
        <f>IF(C27="","",IF(AND(N(E27)&gt;0,N(F27)=0),"USUNIĘTO",IF(AND(N(E27)=0,N(F27)&gt;0),"DODANO",IF(N(F27)&gt;N(E27),"ZWIĘKSZONO",IF(N(F27)&lt;N(E27),"ZMNIEJSZONO","BEZ ZMIAN")))))</f>
        <v/>
      </c>
      <c r="L27" s="8" t="n"/>
      <c r="M27" s="30">
        <f>IF(C27="","",IFERROR(N(F27)*MasaDocelowa/MasaWlasna,0))</f>
        <v/>
      </c>
      <c r="N27" s="32">
        <f>IF(C27="","",IF(COUNTIF($P$12:$P$51,P27)&gt;1,"DUPLIKAT","OK"))</f>
        <v/>
      </c>
      <c r="O27" s="32">
        <f>IF(C27="","",IF(B27="","BRAK SYSTEMU",IF(ISERROR(VLOOKUP(P27,PigmentyKlucz,1,FALSE)),"BRAK W BAZIE","OK")))</f>
        <v/>
      </c>
      <c r="P27" s="14">
        <f>IF(C27="","",B27&amp;"|"&amp;IF(ISNUMBER(FIND(" | ",C27)),TRIM(LEFT(C27,FIND(" | ",C27)-1)),C27))</f>
        <v/>
      </c>
    </row>
    <row r="28">
      <c r="A28" s="14">
        <f>IF(C28="","",17)</f>
        <v/>
      </c>
      <c r="B28" s="27" t="n"/>
      <c r="C28" s="27" t="n"/>
      <c r="D28" s="14">
        <f>IF(C28="","",IFERROR(VLOOKUP(P28,PigmentyKlucz,4,FALSE),"BRAK W BAZIE"))</f>
        <v/>
      </c>
      <c r="E28" s="30">
        <f>IF(C28="","",IFERROR(SUMIF(RECEPTURA_ORYGINALNA!$I$12:$I$51,P28,RECEPTURA_ORYGINALNA!$E$12:$E$51),0))</f>
        <v/>
      </c>
      <c r="F28" s="31" t="n"/>
      <c r="G28" s="30">
        <f>IF(C28="","",N(F28)-N(E28))</f>
        <v/>
      </c>
      <c r="H28" s="15">
        <f>IF(C28="","",IF(N(E28)=0,IF(N(F28)&gt;0,"",0),IFERROR((N(F28)-N(E28))/N(E28),0)))</f>
        <v/>
      </c>
      <c r="I28" s="15">
        <f>IF(C28="","",IF(MasaOryg=0,"",N(E28)/MasaOryg))</f>
        <v/>
      </c>
      <c r="J28" s="15">
        <f>IF(C28="","",IF(MasaWlasna=0,"",N(F28)/MasaWlasna))</f>
        <v/>
      </c>
      <c r="K28" s="32">
        <f>IF(C28="","",IF(AND(N(E28)&gt;0,N(F28)=0),"USUNIĘTO",IF(AND(N(E28)=0,N(F28)&gt;0),"DODANO",IF(N(F28)&gt;N(E28),"ZWIĘKSZONO",IF(N(F28)&lt;N(E28),"ZMNIEJSZONO","BEZ ZMIAN")))))</f>
        <v/>
      </c>
      <c r="L28" s="8" t="n"/>
      <c r="M28" s="30">
        <f>IF(C28="","",IFERROR(N(F28)*MasaDocelowa/MasaWlasna,0))</f>
        <v/>
      </c>
      <c r="N28" s="32">
        <f>IF(C28="","",IF(COUNTIF($P$12:$P$51,P28)&gt;1,"DUPLIKAT","OK"))</f>
        <v/>
      </c>
      <c r="O28" s="32">
        <f>IF(C28="","",IF(B28="","BRAK SYSTEMU",IF(ISERROR(VLOOKUP(P28,PigmentyKlucz,1,FALSE)),"BRAK W BAZIE","OK")))</f>
        <v/>
      </c>
      <c r="P28" s="14">
        <f>IF(C28="","",B28&amp;"|"&amp;IF(ISNUMBER(FIND(" | ",C28)),TRIM(LEFT(C28,FIND(" | ",C28)-1)),C28))</f>
        <v/>
      </c>
    </row>
    <row r="29">
      <c r="A29" s="14">
        <f>IF(C29="","",18)</f>
        <v/>
      </c>
      <c r="B29" s="27" t="n"/>
      <c r="C29" s="27" t="n"/>
      <c r="D29" s="14">
        <f>IF(C29="","",IFERROR(VLOOKUP(P29,PigmentyKlucz,4,FALSE),"BRAK W BAZIE"))</f>
        <v/>
      </c>
      <c r="E29" s="30">
        <f>IF(C29="","",IFERROR(SUMIF(RECEPTURA_ORYGINALNA!$I$12:$I$51,P29,RECEPTURA_ORYGINALNA!$E$12:$E$51),0))</f>
        <v/>
      </c>
      <c r="F29" s="31" t="n"/>
      <c r="G29" s="30">
        <f>IF(C29="","",N(F29)-N(E29))</f>
        <v/>
      </c>
      <c r="H29" s="15">
        <f>IF(C29="","",IF(N(E29)=0,IF(N(F29)&gt;0,"",0),IFERROR((N(F29)-N(E29))/N(E29),0)))</f>
        <v/>
      </c>
      <c r="I29" s="15">
        <f>IF(C29="","",IF(MasaOryg=0,"",N(E29)/MasaOryg))</f>
        <v/>
      </c>
      <c r="J29" s="15">
        <f>IF(C29="","",IF(MasaWlasna=0,"",N(F29)/MasaWlasna))</f>
        <v/>
      </c>
      <c r="K29" s="32">
        <f>IF(C29="","",IF(AND(N(E29)&gt;0,N(F29)=0),"USUNIĘTO",IF(AND(N(E29)=0,N(F29)&gt;0),"DODANO",IF(N(F29)&gt;N(E29),"ZWIĘKSZONO",IF(N(F29)&lt;N(E29),"ZMNIEJSZONO","BEZ ZMIAN")))))</f>
        <v/>
      </c>
      <c r="L29" s="8" t="n"/>
      <c r="M29" s="30">
        <f>IF(C29="","",IFERROR(N(F29)*MasaDocelowa/MasaWlasna,0))</f>
        <v/>
      </c>
      <c r="N29" s="32">
        <f>IF(C29="","",IF(COUNTIF($P$12:$P$51,P29)&gt;1,"DUPLIKAT","OK"))</f>
        <v/>
      </c>
      <c r="O29" s="32">
        <f>IF(C29="","",IF(B29="","BRAK SYSTEMU",IF(ISERROR(VLOOKUP(P29,PigmentyKlucz,1,FALSE)),"BRAK W BAZIE","OK")))</f>
        <v/>
      </c>
      <c r="P29" s="14">
        <f>IF(C29="","",B29&amp;"|"&amp;IF(ISNUMBER(FIND(" | ",C29)),TRIM(LEFT(C29,FIND(" | ",C29)-1)),C29))</f>
        <v/>
      </c>
    </row>
    <row r="30">
      <c r="A30" s="14">
        <f>IF(C30="","",19)</f>
        <v/>
      </c>
      <c r="B30" s="27" t="n"/>
      <c r="C30" s="27" t="n"/>
      <c r="D30" s="14">
        <f>IF(C30="","",IFERROR(VLOOKUP(P30,PigmentyKlucz,4,FALSE),"BRAK W BAZIE"))</f>
        <v/>
      </c>
      <c r="E30" s="30">
        <f>IF(C30="","",IFERROR(SUMIF(RECEPTURA_ORYGINALNA!$I$12:$I$51,P30,RECEPTURA_ORYGINALNA!$E$12:$E$51),0))</f>
        <v/>
      </c>
      <c r="F30" s="31" t="n"/>
      <c r="G30" s="30">
        <f>IF(C30="","",N(F30)-N(E30))</f>
        <v/>
      </c>
      <c r="H30" s="15">
        <f>IF(C30="","",IF(N(E30)=0,IF(N(F30)&gt;0,"",0),IFERROR((N(F30)-N(E30))/N(E30),0)))</f>
        <v/>
      </c>
      <c r="I30" s="15">
        <f>IF(C30="","",IF(MasaOryg=0,"",N(E30)/MasaOryg))</f>
        <v/>
      </c>
      <c r="J30" s="15">
        <f>IF(C30="","",IF(MasaWlasna=0,"",N(F30)/MasaWlasna))</f>
        <v/>
      </c>
      <c r="K30" s="32">
        <f>IF(C30="","",IF(AND(N(E30)&gt;0,N(F30)=0),"USUNIĘTO",IF(AND(N(E30)=0,N(F30)&gt;0),"DODANO",IF(N(F30)&gt;N(E30),"ZWIĘKSZONO",IF(N(F30)&lt;N(E30),"ZMNIEJSZONO","BEZ ZMIAN")))))</f>
        <v/>
      </c>
      <c r="L30" s="8" t="n"/>
      <c r="M30" s="30">
        <f>IF(C30="","",IFERROR(N(F30)*MasaDocelowa/MasaWlasna,0))</f>
        <v/>
      </c>
      <c r="N30" s="32">
        <f>IF(C30="","",IF(COUNTIF($P$12:$P$51,P30)&gt;1,"DUPLIKAT","OK"))</f>
        <v/>
      </c>
      <c r="O30" s="32">
        <f>IF(C30="","",IF(B30="","BRAK SYSTEMU",IF(ISERROR(VLOOKUP(P30,PigmentyKlucz,1,FALSE)),"BRAK W BAZIE","OK")))</f>
        <v/>
      </c>
      <c r="P30" s="14">
        <f>IF(C30="","",B30&amp;"|"&amp;IF(ISNUMBER(FIND(" | ",C30)),TRIM(LEFT(C30,FIND(" | ",C30)-1)),C30))</f>
        <v/>
      </c>
    </row>
    <row r="31">
      <c r="A31" s="14">
        <f>IF(C31="","",20)</f>
        <v/>
      </c>
      <c r="B31" s="27" t="n"/>
      <c r="C31" s="27" t="n"/>
      <c r="D31" s="14">
        <f>IF(C31="","",IFERROR(VLOOKUP(P31,PigmentyKlucz,4,FALSE),"BRAK W BAZIE"))</f>
        <v/>
      </c>
      <c r="E31" s="30">
        <f>IF(C31="","",IFERROR(SUMIF(RECEPTURA_ORYGINALNA!$I$12:$I$51,P31,RECEPTURA_ORYGINALNA!$E$12:$E$51),0))</f>
        <v/>
      </c>
      <c r="F31" s="31" t="n"/>
      <c r="G31" s="30">
        <f>IF(C31="","",N(F31)-N(E31))</f>
        <v/>
      </c>
      <c r="H31" s="15">
        <f>IF(C31="","",IF(N(E31)=0,IF(N(F31)&gt;0,"",0),IFERROR((N(F31)-N(E31))/N(E31),0)))</f>
        <v/>
      </c>
      <c r="I31" s="15">
        <f>IF(C31="","",IF(MasaOryg=0,"",N(E31)/MasaOryg))</f>
        <v/>
      </c>
      <c r="J31" s="15">
        <f>IF(C31="","",IF(MasaWlasna=0,"",N(F31)/MasaWlasna))</f>
        <v/>
      </c>
      <c r="K31" s="32">
        <f>IF(C31="","",IF(AND(N(E31)&gt;0,N(F31)=0),"USUNIĘTO",IF(AND(N(E31)=0,N(F31)&gt;0),"DODANO",IF(N(F31)&gt;N(E31),"ZWIĘKSZONO",IF(N(F31)&lt;N(E31),"ZMNIEJSZONO","BEZ ZMIAN")))))</f>
        <v/>
      </c>
      <c r="L31" s="8" t="n"/>
      <c r="M31" s="30">
        <f>IF(C31="","",IFERROR(N(F31)*MasaDocelowa/MasaWlasna,0))</f>
        <v/>
      </c>
      <c r="N31" s="32">
        <f>IF(C31="","",IF(COUNTIF($P$12:$P$51,P31)&gt;1,"DUPLIKAT","OK"))</f>
        <v/>
      </c>
      <c r="O31" s="32">
        <f>IF(C31="","",IF(B31="","BRAK SYSTEMU",IF(ISERROR(VLOOKUP(P31,PigmentyKlucz,1,FALSE)),"BRAK W BAZIE","OK")))</f>
        <v/>
      </c>
      <c r="P31" s="14">
        <f>IF(C31="","",B31&amp;"|"&amp;IF(ISNUMBER(FIND(" | ",C31)),TRIM(LEFT(C31,FIND(" | ",C31)-1)),C31))</f>
        <v/>
      </c>
    </row>
    <row r="32">
      <c r="A32" s="14">
        <f>IF(C32="","",21)</f>
        <v/>
      </c>
      <c r="B32" s="27" t="n"/>
      <c r="C32" s="27" t="n"/>
      <c r="D32" s="14">
        <f>IF(C32="","",IFERROR(VLOOKUP(P32,PigmentyKlucz,4,FALSE),"BRAK W BAZIE"))</f>
        <v/>
      </c>
      <c r="E32" s="30">
        <f>IF(C32="","",IFERROR(SUMIF(RECEPTURA_ORYGINALNA!$I$12:$I$51,P32,RECEPTURA_ORYGINALNA!$E$12:$E$51),0))</f>
        <v/>
      </c>
      <c r="F32" s="31" t="n"/>
      <c r="G32" s="30">
        <f>IF(C32="","",N(F32)-N(E32))</f>
        <v/>
      </c>
      <c r="H32" s="15">
        <f>IF(C32="","",IF(N(E32)=0,IF(N(F32)&gt;0,"",0),IFERROR((N(F32)-N(E32))/N(E32),0)))</f>
        <v/>
      </c>
      <c r="I32" s="15">
        <f>IF(C32="","",IF(MasaOryg=0,"",N(E32)/MasaOryg))</f>
        <v/>
      </c>
      <c r="J32" s="15">
        <f>IF(C32="","",IF(MasaWlasna=0,"",N(F32)/MasaWlasna))</f>
        <v/>
      </c>
      <c r="K32" s="32">
        <f>IF(C32="","",IF(AND(N(E32)&gt;0,N(F32)=0),"USUNIĘTO",IF(AND(N(E32)=0,N(F32)&gt;0),"DODANO",IF(N(F32)&gt;N(E32),"ZWIĘKSZONO",IF(N(F32)&lt;N(E32),"ZMNIEJSZONO","BEZ ZMIAN")))))</f>
        <v/>
      </c>
      <c r="L32" s="8" t="n"/>
      <c r="M32" s="30">
        <f>IF(C32="","",IFERROR(N(F32)*MasaDocelowa/MasaWlasna,0))</f>
        <v/>
      </c>
      <c r="N32" s="32">
        <f>IF(C32="","",IF(COUNTIF($P$12:$P$51,P32)&gt;1,"DUPLIKAT","OK"))</f>
        <v/>
      </c>
      <c r="O32" s="32">
        <f>IF(C32="","",IF(B32="","BRAK SYSTEMU",IF(ISERROR(VLOOKUP(P32,PigmentyKlucz,1,FALSE)),"BRAK W BAZIE","OK")))</f>
        <v/>
      </c>
      <c r="P32" s="14">
        <f>IF(C32="","",B32&amp;"|"&amp;IF(ISNUMBER(FIND(" | ",C32)),TRIM(LEFT(C32,FIND(" | ",C32)-1)),C32))</f>
        <v/>
      </c>
    </row>
    <row r="33">
      <c r="A33" s="14">
        <f>IF(C33="","",22)</f>
        <v/>
      </c>
      <c r="B33" s="27" t="n"/>
      <c r="C33" s="27" t="n"/>
      <c r="D33" s="14">
        <f>IF(C33="","",IFERROR(VLOOKUP(P33,PigmentyKlucz,4,FALSE),"BRAK W BAZIE"))</f>
        <v/>
      </c>
      <c r="E33" s="30">
        <f>IF(C33="","",IFERROR(SUMIF(RECEPTURA_ORYGINALNA!$I$12:$I$51,P33,RECEPTURA_ORYGINALNA!$E$12:$E$51),0))</f>
        <v/>
      </c>
      <c r="F33" s="31" t="n"/>
      <c r="G33" s="30">
        <f>IF(C33="","",N(F33)-N(E33))</f>
        <v/>
      </c>
      <c r="H33" s="15">
        <f>IF(C33="","",IF(N(E33)=0,IF(N(F33)&gt;0,"",0),IFERROR((N(F33)-N(E33))/N(E33),0)))</f>
        <v/>
      </c>
      <c r="I33" s="15">
        <f>IF(C33="","",IF(MasaOryg=0,"",N(E33)/MasaOryg))</f>
        <v/>
      </c>
      <c r="J33" s="15">
        <f>IF(C33="","",IF(MasaWlasna=0,"",N(F33)/MasaWlasna))</f>
        <v/>
      </c>
      <c r="K33" s="32">
        <f>IF(C33="","",IF(AND(N(E33)&gt;0,N(F33)=0),"USUNIĘTO",IF(AND(N(E33)=0,N(F33)&gt;0),"DODANO",IF(N(F33)&gt;N(E33),"ZWIĘKSZONO",IF(N(F33)&lt;N(E33),"ZMNIEJSZONO","BEZ ZMIAN")))))</f>
        <v/>
      </c>
      <c r="L33" s="8" t="n"/>
      <c r="M33" s="30">
        <f>IF(C33="","",IFERROR(N(F33)*MasaDocelowa/MasaWlasna,0))</f>
        <v/>
      </c>
      <c r="N33" s="32">
        <f>IF(C33="","",IF(COUNTIF($P$12:$P$51,P33)&gt;1,"DUPLIKAT","OK"))</f>
        <v/>
      </c>
      <c r="O33" s="32">
        <f>IF(C33="","",IF(B33="","BRAK SYSTEMU",IF(ISERROR(VLOOKUP(P33,PigmentyKlucz,1,FALSE)),"BRAK W BAZIE","OK")))</f>
        <v/>
      </c>
      <c r="P33" s="14">
        <f>IF(C33="","",B33&amp;"|"&amp;IF(ISNUMBER(FIND(" | ",C33)),TRIM(LEFT(C33,FIND(" | ",C33)-1)),C33))</f>
        <v/>
      </c>
    </row>
    <row r="34">
      <c r="A34" s="14">
        <f>IF(C34="","",23)</f>
        <v/>
      </c>
      <c r="B34" s="27" t="n"/>
      <c r="C34" s="27" t="n"/>
      <c r="D34" s="14">
        <f>IF(C34="","",IFERROR(VLOOKUP(P34,PigmentyKlucz,4,FALSE),"BRAK W BAZIE"))</f>
        <v/>
      </c>
      <c r="E34" s="30">
        <f>IF(C34="","",IFERROR(SUMIF(RECEPTURA_ORYGINALNA!$I$12:$I$51,P34,RECEPTURA_ORYGINALNA!$E$12:$E$51),0))</f>
        <v/>
      </c>
      <c r="F34" s="31" t="n"/>
      <c r="G34" s="30">
        <f>IF(C34="","",N(F34)-N(E34))</f>
        <v/>
      </c>
      <c r="H34" s="15">
        <f>IF(C34="","",IF(N(E34)=0,IF(N(F34)&gt;0,"",0),IFERROR((N(F34)-N(E34))/N(E34),0)))</f>
        <v/>
      </c>
      <c r="I34" s="15">
        <f>IF(C34="","",IF(MasaOryg=0,"",N(E34)/MasaOryg))</f>
        <v/>
      </c>
      <c r="J34" s="15">
        <f>IF(C34="","",IF(MasaWlasna=0,"",N(F34)/MasaWlasna))</f>
        <v/>
      </c>
      <c r="K34" s="32">
        <f>IF(C34="","",IF(AND(N(E34)&gt;0,N(F34)=0),"USUNIĘTO",IF(AND(N(E34)=0,N(F34)&gt;0),"DODANO",IF(N(F34)&gt;N(E34),"ZWIĘKSZONO",IF(N(F34)&lt;N(E34),"ZMNIEJSZONO","BEZ ZMIAN")))))</f>
        <v/>
      </c>
      <c r="L34" s="8" t="n"/>
      <c r="M34" s="30">
        <f>IF(C34="","",IFERROR(N(F34)*MasaDocelowa/MasaWlasna,0))</f>
        <v/>
      </c>
      <c r="N34" s="32">
        <f>IF(C34="","",IF(COUNTIF($P$12:$P$51,P34)&gt;1,"DUPLIKAT","OK"))</f>
        <v/>
      </c>
      <c r="O34" s="32">
        <f>IF(C34="","",IF(B34="","BRAK SYSTEMU",IF(ISERROR(VLOOKUP(P34,PigmentyKlucz,1,FALSE)),"BRAK W BAZIE","OK")))</f>
        <v/>
      </c>
      <c r="P34" s="14">
        <f>IF(C34="","",B34&amp;"|"&amp;IF(ISNUMBER(FIND(" | ",C34)),TRIM(LEFT(C34,FIND(" | ",C34)-1)),C34))</f>
        <v/>
      </c>
    </row>
    <row r="35">
      <c r="A35" s="14">
        <f>IF(C35="","",24)</f>
        <v/>
      </c>
      <c r="B35" s="27" t="n"/>
      <c r="C35" s="27" t="n"/>
      <c r="D35" s="14">
        <f>IF(C35="","",IFERROR(VLOOKUP(P35,PigmentyKlucz,4,FALSE),"BRAK W BAZIE"))</f>
        <v/>
      </c>
      <c r="E35" s="30">
        <f>IF(C35="","",IFERROR(SUMIF(RECEPTURA_ORYGINALNA!$I$12:$I$51,P35,RECEPTURA_ORYGINALNA!$E$12:$E$51),0))</f>
        <v/>
      </c>
      <c r="F35" s="31" t="n"/>
      <c r="G35" s="30">
        <f>IF(C35="","",N(F35)-N(E35))</f>
        <v/>
      </c>
      <c r="H35" s="15">
        <f>IF(C35="","",IF(N(E35)=0,IF(N(F35)&gt;0,"",0),IFERROR((N(F35)-N(E35))/N(E35),0)))</f>
        <v/>
      </c>
      <c r="I35" s="15">
        <f>IF(C35="","",IF(MasaOryg=0,"",N(E35)/MasaOryg))</f>
        <v/>
      </c>
      <c r="J35" s="15">
        <f>IF(C35="","",IF(MasaWlasna=0,"",N(F35)/MasaWlasna))</f>
        <v/>
      </c>
      <c r="K35" s="32">
        <f>IF(C35="","",IF(AND(N(E35)&gt;0,N(F35)=0),"USUNIĘTO",IF(AND(N(E35)=0,N(F35)&gt;0),"DODANO",IF(N(F35)&gt;N(E35),"ZWIĘKSZONO",IF(N(F35)&lt;N(E35),"ZMNIEJSZONO","BEZ ZMIAN")))))</f>
        <v/>
      </c>
      <c r="L35" s="8" t="n"/>
      <c r="M35" s="30">
        <f>IF(C35="","",IFERROR(N(F35)*MasaDocelowa/MasaWlasna,0))</f>
        <v/>
      </c>
      <c r="N35" s="32">
        <f>IF(C35="","",IF(COUNTIF($P$12:$P$51,P35)&gt;1,"DUPLIKAT","OK"))</f>
        <v/>
      </c>
      <c r="O35" s="32">
        <f>IF(C35="","",IF(B35="","BRAK SYSTEMU",IF(ISERROR(VLOOKUP(P35,PigmentyKlucz,1,FALSE)),"BRAK W BAZIE","OK")))</f>
        <v/>
      </c>
      <c r="P35" s="14">
        <f>IF(C35="","",B35&amp;"|"&amp;IF(ISNUMBER(FIND(" | ",C35)),TRIM(LEFT(C35,FIND(" | ",C35)-1)),C35))</f>
        <v/>
      </c>
    </row>
    <row r="36">
      <c r="A36" s="14">
        <f>IF(C36="","",25)</f>
        <v/>
      </c>
      <c r="B36" s="27" t="n"/>
      <c r="C36" s="27" t="n"/>
      <c r="D36" s="14">
        <f>IF(C36="","",IFERROR(VLOOKUP(P36,PigmentyKlucz,4,FALSE),"BRAK W BAZIE"))</f>
        <v/>
      </c>
      <c r="E36" s="30">
        <f>IF(C36="","",IFERROR(SUMIF(RECEPTURA_ORYGINALNA!$I$12:$I$51,P36,RECEPTURA_ORYGINALNA!$E$12:$E$51),0))</f>
        <v/>
      </c>
      <c r="F36" s="31" t="n"/>
      <c r="G36" s="30">
        <f>IF(C36="","",N(F36)-N(E36))</f>
        <v/>
      </c>
      <c r="H36" s="15">
        <f>IF(C36="","",IF(N(E36)=0,IF(N(F36)&gt;0,"",0),IFERROR((N(F36)-N(E36))/N(E36),0)))</f>
        <v/>
      </c>
      <c r="I36" s="15">
        <f>IF(C36="","",IF(MasaOryg=0,"",N(E36)/MasaOryg))</f>
        <v/>
      </c>
      <c r="J36" s="15">
        <f>IF(C36="","",IF(MasaWlasna=0,"",N(F36)/MasaWlasna))</f>
        <v/>
      </c>
      <c r="K36" s="32">
        <f>IF(C36="","",IF(AND(N(E36)&gt;0,N(F36)=0),"USUNIĘTO",IF(AND(N(E36)=0,N(F36)&gt;0),"DODANO",IF(N(F36)&gt;N(E36),"ZWIĘKSZONO",IF(N(F36)&lt;N(E36),"ZMNIEJSZONO","BEZ ZMIAN")))))</f>
        <v/>
      </c>
      <c r="L36" s="8" t="n"/>
      <c r="M36" s="30">
        <f>IF(C36="","",IFERROR(N(F36)*MasaDocelowa/MasaWlasna,0))</f>
        <v/>
      </c>
      <c r="N36" s="32">
        <f>IF(C36="","",IF(COUNTIF($P$12:$P$51,P36)&gt;1,"DUPLIKAT","OK"))</f>
        <v/>
      </c>
      <c r="O36" s="32">
        <f>IF(C36="","",IF(B36="","BRAK SYSTEMU",IF(ISERROR(VLOOKUP(P36,PigmentyKlucz,1,FALSE)),"BRAK W BAZIE","OK")))</f>
        <v/>
      </c>
      <c r="P36" s="14">
        <f>IF(C36="","",B36&amp;"|"&amp;IF(ISNUMBER(FIND(" | ",C36)),TRIM(LEFT(C36,FIND(" | ",C36)-1)),C36))</f>
        <v/>
      </c>
    </row>
    <row r="37">
      <c r="A37" s="14">
        <f>IF(C37="","",26)</f>
        <v/>
      </c>
      <c r="B37" s="27" t="n"/>
      <c r="C37" s="27" t="n"/>
      <c r="D37" s="14">
        <f>IF(C37="","",IFERROR(VLOOKUP(P37,PigmentyKlucz,4,FALSE),"BRAK W BAZIE"))</f>
        <v/>
      </c>
      <c r="E37" s="30">
        <f>IF(C37="","",IFERROR(SUMIF(RECEPTURA_ORYGINALNA!$I$12:$I$51,P37,RECEPTURA_ORYGINALNA!$E$12:$E$51),0))</f>
        <v/>
      </c>
      <c r="F37" s="31" t="n"/>
      <c r="G37" s="30">
        <f>IF(C37="","",N(F37)-N(E37))</f>
        <v/>
      </c>
      <c r="H37" s="15">
        <f>IF(C37="","",IF(N(E37)=0,IF(N(F37)&gt;0,"",0),IFERROR((N(F37)-N(E37))/N(E37),0)))</f>
        <v/>
      </c>
      <c r="I37" s="15">
        <f>IF(C37="","",IF(MasaOryg=0,"",N(E37)/MasaOryg))</f>
        <v/>
      </c>
      <c r="J37" s="15">
        <f>IF(C37="","",IF(MasaWlasna=0,"",N(F37)/MasaWlasna))</f>
        <v/>
      </c>
      <c r="K37" s="32">
        <f>IF(C37="","",IF(AND(N(E37)&gt;0,N(F37)=0),"USUNIĘTO",IF(AND(N(E37)=0,N(F37)&gt;0),"DODANO",IF(N(F37)&gt;N(E37),"ZWIĘKSZONO",IF(N(F37)&lt;N(E37),"ZMNIEJSZONO","BEZ ZMIAN")))))</f>
        <v/>
      </c>
      <c r="L37" s="8" t="n"/>
      <c r="M37" s="30">
        <f>IF(C37="","",IFERROR(N(F37)*MasaDocelowa/MasaWlasna,0))</f>
        <v/>
      </c>
      <c r="N37" s="32">
        <f>IF(C37="","",IF(COUNTIF($P$12:$P$51,P37)&gt;1,"DUPLIKAT","OK"))</f>
        <v/>
      </c>
      <c r="O37" s="32">
        <f>IF(C37="","",IF(B37="","BRAK SYSTEMU",IF(ISERROR(VLOOKUP(P37,PigmentyKlucz,1,FALSE)),"BRAK W BAZIE","OK")))</f>
        <v/>
      </c>
      <c r="P37" s="14">
        <f>IF(C37="","",B37&amp;"|"&amp;IF(ISNUMBER(FIND(" | ",C37)),TRIM(LEFT(C37,FIND(" | ",C37)-1)),C37))</f>
        <v/>
      </c>
    </row>
    <row r="38">
      <c r="A38" s="14">
        <f>IF(C38="","",27)</f>
        <v/>
      </c>
      <c r="B38" s="27" t="n"/>
      <c r="C38" s="27" t="n"/>
      <c r="D38" s="14">
        <f>IF(C38="","",IFERROR(VLOOKUP(P38,PigmentyKlucz,4,FALSE),"BRAK W BAZIE"))</f>
        <v/>
      </c>
      <c r="E38" s="30">
        <f>IF(C38="","",IFERROR(SUMIF(RECEPTURA_ORYGINALNA!$I$12:$I$51,P38,RECEPTURA_ORYGINALNA!$E$12:$E$51),0))</f>
        <v/>
      </c>
      <c r="F38" s="31" t="n"/>
      <c r="G38" s="30">
        <f>IF(C38="","",N(F38)-N(E38))</f>
        <v/>
      </c>
      <c r="H38" s="15">
        <f>IF(C38="","",IF(N(E38)=0,IF(N(F38)&gt;0,"",0),IFERROR((N(F38)-N(E38))/N(E38),0)))</f>
        <v/>
      </c>
      <c r="I38" s="15">
        <f>IF(C38="","",IF(MasaOryg=0,"",N(E38)/MasaOryg))</f>
        <v/>
      </c>
      <c r="J38" s="15">
        <f>IF(C38="","",IF(MasaWlasna=0,"",N(F38)/MasaWlasna))</f>
        <v/>
      </c>
      <c r="K38" s="32">
        <f>IF(C38="","",IF(AND(N(E38)&gt;0,N(F38)=0),"USUNIĘTO",IF(AND(N(E38)=0,N(F38)&gt;0),"DODANO",IF(N(F38)&gt;N(E38),"ZWIĘKSZONO",IF(N(F38)&lt;N(E38),"ZMNIEJSZONO","BEZ ZMIAN")))))</f>
        <v/>
      </c>
      <c r="L38" s="8" t="n"/>
      <c r="M38" s="30">
        <f>IF(C38="","",IFERROR(N(F38)*MasaDocelowa/MasaWlasna,0))</f>
        <v/>
      </c>
      <c r="N38" s="32">
        <f>IF(C38="","",IF(COUNTIF($P$12:$P$51,P38)&gt;1,"DUPLIKAT","OK"))</f>
        <v/>
      </c>
      <c r="O38" s="32">
        <f>IF(C38="","",IF(B38="","BRAK SYSTEMU",IF(ISERROR(VLOOKUP(P38,PigmentyKlucz,1,FALSE)),"BRAK W BAZIE","OK")))</f>
        <v/>
      </c>
      <c r="P38" s="14">
        <f>IF(C38="","",B38&amp;"|"&amp;IF(ISNUMBER(FIND(" | ",C38)),TRIM(LEFT(C38,FIND(" | ",C38)-1)),C38))</f>
        <v/>
      </c>
    </row>
    <row r="39">
      <c r="A39" s="14">
        <f>IF(C39="","",28)</f>
        <v/>
      </c>
      <c r="B39" s="27" t="n"/>
      <c r="C39" s="27" t="n"/>
      <c r="D39" s="14">
        <f>IF(C39="","",IFERROR(VLOOKUP(P39,PigmentyKlucz,4,FALSE),"BRAK W BAZIE"))</f>
        <v/>
      </c>
      <c r="E39" s="30">
        <f>IF(C39="","",IFERROR(SUMIF(RECEPTURA_ORYGINALNA!$I$12:$I$51,P39,RECEPTURA_ORYGINALNA!$E$12:$E$51),0))</f>
        <v/>
      </c>
      <c r="F39" s="31" t="n"/>
      <c r="G39" s="30">
        <f>IF(C39="","",N(F39)-N(E39))</f>
        <v/>
      </c>
      <c r="H39" s="15">
        <f>IF(C39="","",IF(N(E39)=0,IF(N(F39)&gt;0,"",0),IFERROR((N(F39)-N(E39))/N(E39),0)))</f>
        <v/>
      </c>
      <c r="I39" s="15">
        <f>IF(C39="","",IF(MasaOryg=0,"",N(E39)/MasaOryg))</f>
        <v/>
      </c>
      <c r="J39" s="15">
        <f>IF(C39="","",IF(MasaWlasna=0,"",N(F39)/MasaWlasna))</f>
        <v/>
      </c>
      <c r="K39" s="32">
        <f>IF(C39="","",IF(AND(N(E39)&gt;0,N(F39)=0),"USUNIĘTO",IF(AND(N(E39)=0,N(F39)&gt;0),"DODANO",IF(N(F39)&gt;N(E39),"ZWIĘKSZONO",IF(N(F39)&lt;N(E39),"ZMNIEJSZONO","BEZ ZMIAN")))))</f>
        <v/>
      </c>
      <c r="L39" s="8" t="n"/>
      <c r="M39" s="30">
        <f>IF(C39="","",IFERROR(N(F39)*MasaDocelowa/MasaWlasna,0))</f>
        <v/>
      </c>
      <c r="N39" s="32">
        <f>IF(C39="","",IF(COUNTIF($P$12:$P$51,P39)&gt;1,"DUPLIKAT","OK"))</f>
        <v/>
      </c>
      <c r="O39" s="32">
        <f>IF(C39="","",IF(B39="","BRAK SYSTEMU",IF(ISERROR(VLOOKUP(P39,PigmentyKlucz,1,FALSE)),"BRAK W BAZIE","OK")))</f>
        <v/>
      </c>
      <c r="P39" s="14">
        <f>IF(C39="","",B39&amp;"|"&amp;IF(ISNUMBER(FIND(" | ",C39)),TRIM(LEFT(C39,FIND(" | ",C39)-1)),C39))</f>
        <v/>
      </c>
    </row>
    <row r="40">
      <c r="A40" s="14">
        <f>IF(C40="","",29)</f>
        <v/>
      </c>
      <c r="B40" s="27" t="n"/>
      <c r="C40" s="27" t="n"/>
      <c r="D40" s="14">
        <f>IF(C40="","",IFERROR(VLOOKUP(P40,PigmentyKlucz,4,FALSE),"BRAK W BAZIE"))</f>
        <v/>
      </c>
      <c r="E40" s="30">
        <f>IF(C40="","",IFERROR(SUMIF(RECEPTURA_ORYGINALNA!$I$12:$I$51,P40,RECEPTURA_ORYGINALNA!$E$12:$E$51),0))</f>
        <v/>
      </c>
      <c r="F40" s="31" t="n"/>
      <c r="G40" s="30">
        <f>IF(C40="","",N(F40)-N(E40))</f>
        <v/>
      </c>
      <c r="H40" s="15">
        <f>IF(C40="","",IF(N(E40)=0,IF(N(F40)&gt;0,"",0),IFERROR((N(F40)-N(E40))/N(E40),0)))</f>
        <v/>
      </c>
      <c r="I40" s="15">
        <f>IF(C40="","",IF(MasaOryg=0,"",N(E40)/MasaOryg))</f>
        <v/>
      </c>
      <c r="J40" s="15">
        <f>IF(C40="","",IF(MasaWlasna=0,"",N(F40)/MasaWlasna))</f>
        <v/>
      </c>
      <c r="K40" s="32">
        <f>IF(C40="","",IF(AND(N(E40)&gt;0,N(F40)=0),"USUNIĘTO",IF(AND(N(E40)=0,N(F40)&gt;0),"DODANO",IF(N(F40)&gt;N(E40),"ZWIĘKSZONO",IF(N(F40)&lt;N(E40),"ZMNIEJSZONO","BEZ ZMIAN")))))</f>
        <v/>
      </c>
      <c r="L40" s="8" t="n"/>
      <c r="M40" s="30">
        <f>IF(C40="","",IFERROR(N(F40)*MasaDocelowa/MasaWlasna,0))</f>
        <v/>
      </c>
      <c r="N40" s="32">
        <f>IF(C40="","",IF(COUNTIF($P$12:$P$51,P40)&gt;1,"DUPLIKAT","OK"))</f>
        <v/>
      </c>
      <c r="O40" s="32">
        <f>IF(C40="","",IF(B40="","BRAK SYSTEMU",IF(ISERROR(VLOOKUP(P40,PigmentyKlucz,1,FALSE)),"BRAK W BAZIE","OK")))</f>
        <v/>
      </c>
      <c r="P40" s="14">
        <f>IF(C40="","",B40&amp;"|"&amp;IF(ISNUMBER(FIND(" | ",C40)),TRIM(LEFT(C40,FIND(" | ",C40)-1)),C40))</f>
        <v/>
      </c>
    </row>
    <row r="41">
      <c r="A41" s="14">
        <f>IF(C41="","",30)</f>
        <v/>
      </c>
      <c r="B41" s="27" t="n"/>
      <c r="C41" s="27" t="n"/>
      <c r="D41" s="14">
        <f>IF(C41="","",IFERROR(VLOOKUP(P41,PigmentyKlucz,4,FALSE),"BRAK W BAZIE"))</f>
        <v/>
      </c>
      <c r="E41" s="30">
        <f>IF(C41="","",IFERROR(SUMIF(RECEPTURA_ORYGINALNA!$I$12:$I$51,P41,RECEPTURA_ORYGINALNA!$E$12:$E$51),0))</f>
        <v/>
      </c>
      <c r="F41" s="31" t="n"/>
      <c r="G41" s="30">
        <f>IF(C41="","",N(F41)-N(E41))</f>
        <v/>
      </c>
      <c r="H41" s="15">
        <f>IF(C41="","",IF(N(E41)=0,IF(N(F41)&gt;0,"",0),IFERROR((N(F41)-N(E41))/N(E41),0)))</f>
        <v/>
      </c>
      <c r="I41" s="15">
        <f>IF(C41="","",IF(MasaOryg=0,"",N(E41)/MasaOryg))</f>
        <v/>
      </c>
      <c r="J41" s="15">
        <f>IF(C41="","",IF(MasaWlasna=0,"",N(F41)/MasaWlasna))</f>
        <v/>
      </c>
      <c r="K41" s="32">
        <f>IF(C41="","",IF(AND(N(E41)&gt;0,N(F41)=0),"USUNIĘTO",IF(AND(N(E41)=0,N(F41)&gt;0),"DODANO",IF(N(F41)&gt;N(E41),"ZWIĘKSZONO",IF(N(F41)&lt;N(E41),"ZMNIEJSZONO","BEZ ZMIAN")))))</f>
        <v/>
      </c>
      <c r="L41" s="8" t="n"/>
      <c r="M41" s="30">
        <f>IF(C41="","",IFERROR(N(F41)*MasaDocelowa/MasaWlasna,0))</f>
        <v/>
      </c>
      <c r="N41" s="32">
        <f>IF(C41="","",IF(COUNTIF($P$12:$P$51,P41)&gt;1,"DUPLIKAT","OK"))</f>
        <v/>
      </c>
      <c r="O41" s="32">
        <f>IF(C41="","",IF(B41="","BRAK SYSTEMU",IF(ISERROR(VLOOKUP(P41,PigmentyKlucz,1,FALSE)),"BRAK W BAZIE","OK")))</f>
        <v/>
      </c>
      <c r="P41" s="14">
        <f>IF(C41="","",B41&amp;"|"&amp;IF(ISNUMBER(FIND(" | ",C41)),TRIM(LEFT(C41,FIND(" | ",C41)-1)),C41))</f>
        <v/>
      </c>
    </row>
    <row r="42">
      <c r="A42" s="14">
        <f>IF(C42="","",31)</f>
        <v/>
      </c>
      <c r="B42" s="27" t="n"/>
      <c r="C42" s="27" t="n"/>
      <c r="D42" s="14">
        <f>IF(C42="","",IFERROR(VLOOKUP(P42,PigmentyKlucz,4,FALSE),"BRAK W BAZIE"))</f>
        <v/>
      </c>
      <c r="E42" s="30">
        <f>IF(C42="","",IFERROR(SUMIF(RECEPTURA_ORYGINALNA!$I$12:$I$51,P42,RECEPTURA_ORYGINALNA!$E$12:$E$51),0))</f>
        <v/>
      </c>
      <c r="F42" s="31" t="n"/>
      <c r="G42" s="30">
        <f>IF(C42="","",N(F42)-N(E42))</f>
        <v/>
      </c>
      <c r="H42" s="15">
        <f>IF(C42="","",IF(N(E42)=0,IF(N(F42)&gt;0,"",0),IFERROR((N(F42)-N(E42))/N(E42),0)))</f>
        <v/>
      </c>
      <c r="I42" s="15">
        <f>IF(C42="","",IF(MasaOryg=0,"",N(E42)/MasaOryg))</f>
        <v/>
      </c>
      <c r="J42" s="15">
        <f>IF(C42="","",IF(MasaWlasna=0,"",N(F42)/MasaWlasna))</f>
        <v/>
      </c>
      <c r="K42" s="32">
        <f>IF(C42="","",IF(AND(N(E42)&gt;0,N(F42)=0),"USUNIĘTO",IF(AND(N(E42)=0,N(F42)&gt;0),"DODANO",IF(N(F42)&gt;N(E42),"ZWIĘKSZONO",IF(N(F42)&lt;N(E42),"ZMNIEJSZONO","BEZ ZMIAN")))))</f>
        <v/>
      </c>
      <c r="L42" s="8" t="n"/>
      <c r="M42" s="30">
        <f>IF(C42="","",IFERROR(N(F42)*MasaDocelowa/MasaWlasna,0))</f>
        <v/>
      </c>
      <c r="N42" s="32">
        <f>IF(C42="","",IF(COUNTIF($P$12:$P$51,P42)&gt;1,"DUPLIKAT","OK"))</f>
        <v/>
      </c>
      <c r="O42" s="32">
        <f>IF(C42="","",IF(B42="","BRAK SYSTEMU",IF(ISERROR(VLOOKUP(P42,PigmentyKlucz,1,FALSE)),"BRAK W BAZIE","OK")))</f>
        <v/>
      </c>
      <c r="P42" s="14">
        <f>IF(C42="","",B42&amp;"|"&amp;IF(ISNUMBER(FIND(" | ",C42)),TRIM(LEFT(C42,FIND(" | ",C42)-1)),C42))</f>
        <v/>
      </c>
    </row>
    <row r="43">
      <c r="A43" s="14">
        <f>IF(C43="","",32)</f>
        <v/>
      </c>
      <c r="B43" s="27" t="n"/>
      <c r="C43" s="27" t="n"/>
      <c r="D43" s="14">
        <f>IF(C43="","",IFERROR(VLOOKUP(P43,PigmentyKlucz,4,FALSE),"BRAK W BAZIE"))</f>
        <v/>
      </c>
      <c r="E43" s="30">
        <f>IF(C43="","",IFERROR(SUMIF(RECEPTURA_ORYGINALNA!$I$12:$I$51,P43,RECEPTURA_ORYGINALNA!$E$12:$E$51),0))</f>
        <v/>
      </c>
      <c r="F43" s="31" t="n"/>
      <c r="G43" s="30">
        <f>IF(C43="","",N(F43)-N(E43))</f>
        <v/>
      </c>
      <c r="H43" s="15">
        <f>IF(C43="","",IF(N(E43)=0,IF(N(F43)&gt;0,"",0),IFERROR((N(F43)-N(E43))/N(E43),0)))</f>
        <v/>
      </c>
      <c r="I43" s="15">
        <f>IF(C43="","",IF(MasaOryg=0,"",N(E43)/MasaOryg))</f>
        <v/>
      </c>
      <c r="J43" s="15">
        <f>IF(C43="","",IF(MasaWlasna=0,"",N(F43)/MasaWlasna))</f>
        <v/>
      </c>
      <c r="K43" s="32">
        <f>IF(C43="","",IF(AND(N(E43)&gt;0,N(F43)=0),"USUNIĘTO",IF(AND(N(E43)=0,N(F43)&gt;0),"DODANO",IF(N(F43)&gt;N(E43),"ZWIĘKSZONO",IF(N(F43)&lt;N(E43),"ZMNIEJSZONO","BEZ ZMIAN")))))</f>
        <v/>
      </c>
      <c r="L43" s="8" t="n"/>
      <c r="M43" s="30">
        <f>IF(C43="","",IFERROR(N(F43)*MasaDocelowa/MasaWlasna,0))</f>
        <v/>
      </c>
      <c r="N43" s="32">
        <f>IF(C43="","",IF(COUNTIF($P$12:$P$51,P43)&gt;1,"DUPLIKAT","OK"))</f>
        <v/>
      </c>
      <c r="O43" s="32">
        <f>IF(C43="","",IF(B43="","BRAK SYSTEMU",IF(ISERROR(VLOOKUP(P43,PigmentyKlucz,1,FALSE)),"BRAK W BAZIE","OK")))</f>
        <v/>
      </c>
      <c r="P43" s="14">
        <f>IF(C43="","",B43&amp;"|"&amp;IF(ISNUMBER(FIND(" | ",C43)),TRIM(LEFT(C43,FIND(" | ",C43)-1)),C43))</f>
        <v/>
      </c>
    </row>
    <row r="44">
      <c r="A44" s="14">
        <f>IF(C44="","",33)</f>
        <v/>
      </c>
      <c r="B44" s="27" t="n"/>
      <c r="C44" s="27" t="n"/>
      <c r="D44" s="14">
        <f>IF(C44="","",IFERROR(VLOOKUP(P44,PigmentyKlucz,4,FALSE),"BRAK W BAZIE"))</f>
        <v/>
      </c>
      <c r="E44" s="30">
        <f>IF(C44="","",IFERROR(SUMIF(RECEPTURA_ORYGINALNA!$I$12:$I$51,P44,RECEPTURA_ORYGINALNA!$E$12:$E$51),0))</f>
        <v/>
      </c>
      <c r="F44" s="31" t="n"/>
      <c r="G44" s="30">
        <f>IF(C44="","",N(F44)-N(E44))</f>
        <v/>
      </c>
      <c r="H44" s="15">
        <f>IF(C44="","",IF(N(E44)=0,IF(N(F44)&gt;0,"",0),IFERROR((N(F44)-N(E44))/N(E44),0)))</f>
        <v/>
      </c>
      <c r="I44" s="15">
        <f>IF(C44="","",IF(MasaOryg=0,"",N(E44)/MasaOryg))</f>
        <v/>
      </c>
      <c r="J44" s="15">
        <f>IF(C44="","",IF(MasaWlasna=0,"",N(F44)/MasaWlasna))</f>
        <v/>
      </c>
      <c r="K44" s="32">
        <f>IF(C44="","",IF(AND(N(E44)&gt;0,N(F44)=0),"USUNIĘTO",IF(AND(N(E44)=0,N(F44)&gt;0),"DODANO",IF(N(F44)&gt;N(E44),"ZWIĘKSZONO",IF(N(F44)&lt;N(E44),"ZMNIEJSZONO","BEZ ZMIAN")))))</f>
        <v/>
      </c>
      <c r="L44" s="8" t="n"/>
      <c r="M44" s="30">
        <f>IF(C44="","",IFERROR(N(F44)*MasaDocelowa/MasaWlasna,0))</f>
        <v/>
      </c>
      <c r="N44" s="32">
        <f>IF(C44="","",IF(COUNTIF($P$12:$P$51,P44)&gt;1,"DUPLIKAT","OK"))</f>
        <v/>
      </c>
      <c r="O44" s="32">
        <f>IF(C44="","",IF(B44="","BRAK SYSTEMU",IF(ISERROR(VLOOKUP(P44,PigmentyKlucz,1,FALSE)),"BRAK W BAZIE","OK")))</f>
        <v/>
      </c>
      <c r="P44" s="14">
        <f>IF(C44="","",B44&amp;"|"&amp;IF(ISNUMBER(FIND(" | ",C44)),TRIM(LEFT(C44,FIND(" | ",C44)-1)),C44))</f>
        <v/>
      </c>
    </row>
    <row r="45">
      <c r="A45" s="14">
        <f>IF(C45="","",34)</f>
        <v/>
      </c>
      <c r="B45" s="27" t="n"/>
      <c r="C45" s="27" t="n"/>
      <c r="D45" s="14">
        <f>IF(C45="","",IFERROR(VLOOKUP(P45,PigmentyKlucz,4,FALSE),"BRAK W BAZIE"))</f>
        <v/>
      </c>
      <c r="E45" s="30">
        <f>IF(C45="","",IFERROR(SUMIF(RECEPTURA_ORYGINALNA!$I$12:$I$51,P45,RECEPTURA_ORYGINALNA!$E$12:$E$51),0))</f>
        <v/>
      </c>
      <c r="F45" s="31" t="n"/>
      <c r="G45" s="30">
        <f>IF(C45="","",N(F45)-N(E45))</f>
        <v/>
      </c>
      <c r="H45" s="15">
        <f>IF(C45="","",IF(N(E45)=0,IF(N(F45)&gt;0,"",0),IFERROR((N(F45)-N(E45))/N(E45),0)))</f>
        <v/>
      </c>
      <c r="I45" s="15">
        <f>IF(C45="","",IF(MasaOryg=0,"",N(E45)/MasaOryg))</f>
        <v/>
      </c>
      <c r="J45" s="15">
        <f>IF(C45="","",IF(MasaWlasna=0,"",N(F45)/MasaWlasna))</f>
        <v/>
      </c>
      <c r="K45" s="32">
        <f>IF(C45="","",IF(AND(N(E45)&gt;0,N(F45)=0),"USUNIĘTO",IF(AND(N(E45)=0,N(F45)&gt;0),"DODANO",IF(N(F45)&gt;N(E45),"ZWIĘKSZONO",IF(N(F45)&lt;N(E45),"ZMNIEJSZONO","BEZ ZMIAN")))))</f>
        <v/>
      </c>
      <c r="L45" s="8" t="n"/>
      <c r="M45" s="30">
        <f>IF(C45="","",IFERROR(N(F45)*MasaDocelowa/MasaWlasna,0))</f>
        <v/>
      </c>
      <c r="N45" s="32">
        <f>IF(C45="","",IF(COUNTIF($P$12:$P$51,P45)&gt;1,"DUPLIKAT","OK"))</f>
        <v/>
      </c>
      <c r="O45" s="32">
        <f>IF(C45="","",IF(B45="","BRAK SYSTEMU",IF(ISERROR(VLOOKUP(P45,PigmentyKlucz,1,FALSE)),"BRAK W BAZIE","OK")))</f>
        <v/>
      </c>
      <c r="P45" s="14">
        <f>IF(C45="","",B45&amp;"|"&amp;IF(ISNUMBER(FIND(" | ",C45)),TRIM(LEFT(C45,FIND(" | ",C45)-1)),C45))</f>
        <v/>
      </c>
    </row>
    <row r="46">
      <c r="A46" s="14">
        <f>IF(C46="","",35)</f>
        <v/>
      </c>
      <c r="B46" s="27" t="n"/>
      <c r="C46" s="27" t="n"/>
      <c r="D46" s="14">
        <f>IF(C46="","",IFERROR(VLOOKUP(P46,PigmentyKlucz,4,FALSE),"BRAK W BAZIE"))</f>
        <v/>
      </c>
      <c r="E46" s="30">
        <f>IF(C46="","",IFERROR(SUMIF(RECEPTURA_ORYGINALNA!$I$12:$I$51,P46,RECEPTURA_ORYGINALNA!$E$12:$E$51),0))</f>
        <v/>
      </c>
      <c r="F46" s="31" t="n"/>
      <c r="G46" s="30">
        <f>IF(C46="","",N(F46)-N(E46))</f>
        <v/>
      </c>
      <c r="H46" s="15">
        <f>IF(C46="","",IF(N(E46)=0,IF(N(F46)&gt;0,"",0),IFERROR((N(F46)-N(E46))/N(E46),0)))</f>
        <v/>
      </c>
      <c r="I46" s="15">
        <f>IF(C46="","",IF(MasaOryg=0,"",N(E46)/MasaOryg))</f>
        <v/>
      </c>
      <c r="J46" s="15">
        <f>IF(C46="","",IF(MasaWlasna=0,"",N(F46)/MasaWlasna))</f>
        <v/>
      </c>
      <c r="K46" s="32">
        <f>IF(C46="","",IF(AND(N(E46)&gt;0,N(F46)=0),"USUNIĘTO",IF(AND(N(E46)=0,N(F46)&gt;0),"DODANO",IF(N(F46)&gt;N(E46),"ZWIĘKSZONO",IF(N(F46)&lt;N(E46),"ZMNIEJSZONO","BEZ ZMIAN")))))</f>
        <v/>
      </c>
      <c r="L46" s="8" t="n"/>
      <c r="M46" s="30">
        <f>IF(C46="","",IFERROR(N(F46)*MasaDocelowa/MasaWlasna,0))</f>
        <v/>
      </c>
      <c r="N46" s="32">
        <f>IF(C46="","",IF(COUNTIF($P$12:$P$51,P46)&gt;1,"DUPLIKAT","OK"))</f>
        <v/>
      </c>
      <c r="O46" s="32">
        <f>IF(C46="","",IF(B46="","BRAK SYSTEMU",IF(ISERROR(VLOOKUP(P46,PigmentyKlucz,1,FALSE)),"BRAK W BAZIE","OK")))</f>
        <v/>
      </c>
      <c r="P46" s="14">
        <f>IF(C46="","",B46&amp;"|"&amp;IF(ISNUMBER(FIND(" | ",C46)),TRIM(LEFT(C46,FIND(" | ",C46)-1)),C46))</f>
        <v/>
      </c>
    </row>
    <row r="47">
      <c r="A47" s="14">
        <f>IF(C47="","",36)</f>
        <v/>
      </c>
      <c r="B47" s="27" t="n"/>
      <c r="C47" s="27" t="n"/>
      <c r="D47" s="14">
        <f>IF(C47="","",IFERROR(VLOOKUP(P47,PigmentyKlucz,4,FALSE),"BRAK W BAZIE"))</f>
        <v/>
      </c>
      <c r="E47" s="30">
        <f>IF(C47="","",IFERROR(SUMIF(RECEPTURA_ORYGINALNA!$I$12:$I$51,P47,RECEPTURA_ORYGINALNA!$E$12:$E$51),0))</f>
        <v/>
      </c>
      <c r="F47" s="31" t="n"/>
      <c r="G47" s="30">
        <f>IF(C47="","",N(F47)-N(E47))</f>
        <v/>
      </c>
      <c r="H47" s="15">
        <f>IF(C47="","",IF(N(E47)=0,IF(N(F47)&gt;0,"",0),IFERROR((N(F47)-N(E47))/N(E47),0)))</f>
        <v/>
      </c>
      <c r="I47" s="15">
        <f>IF(C47="","",IF(MasaOryg=0,"",N(E47)/MasaOryg))</f>
        <v/>
      </c>
      <c r="J47" s="15">
        <f>IF(C47="","",IF(MasaWlasna=0,"",N(F47)/MasaWlasna))</f>
        <v/>
      </c>
      <c r="K47" s="32">
        <f>IF(C47="","",IF(AND(N(E47)&gt;0,N(F47)=0),"USUNIĘTO",IF(AND(N(E47)=0,N(F47)&gt;0),"DODANO",IF(N(F47)&gt;N(E47),"ZWIĘKSZONO",IF(N(F47)&lt;N(E47),"ZMNIEJSZONO","BEZ ZMIAN")))))</f>
        <v/>
      </c>
      <c r="L47" s="8" t="n"/>
      <c r="M47" s="30">
        <f>IF(C47="","",IFERROR(N(F47)*MasaDocelowa/MasaWlasna,0))</f>
        <v/>
      </c>
      <c r="N47" s="32">
        <f>IF(C47="","",IF(COUNTIF($P$12:$P$51,P47)&gt;1,"DUPLIKAT","OK"))</f>
        <v/>
      </c>
      <c r="O47" s="32">
        <f>IF(C47="","",IF(B47="","BRAK SYSTEMU",IF(ISERROR(VLOOKUP(P47,PigmentyKlucz,1,FALSE)),"BRAK W BAZIE","OK")))</f>
        <v/>
      </c>
      <c r="P47" s="14">
        <f>IF(C47="","",B47&amp;"|"&amp;IF(ISNUMBER(FIND(" | ",C47)),TRIM(LEFT(C47,FIND(" | ",C47)-1)),C47))</f>
        <v/>
      </c>
    </row>
    <row r="48">
      <c r="A48" s="14">
        <f>IF(C48="","",37)</f>
        <v/>
      </c>
      <c r="B48" s="27" t="n"/>
      <c r="C48" s="27" t="n"/>
      <c r="D48" s="14">
        <f>IF(C48="","",IFERROR(VLOOKUP(P48,PigmentyKlucz,4,FALSE),"BRAK W BAZIE"))</f>
        <v/>
      </c>
      <c r="E48" s="30">
        <f>IF(C48="","",IFERROR(SUMIF(RECEPTURA_ORYGINALNA!$I$12:$I$51,P48,RECEPTURA_ORYGINALNA!$E$12:$E$51),0))</f>
        <v/>
      </c>
      <c r="F48" s="31" t="n"/>
      <c r="G48" s="30">
        <f>IF(C48="","",N(F48)-N(E48))</f>
        <v/>
      </c>
      <c r="H48" s="15">
        <f>IF(C48="","",IF(N(E48)=0,IF(N(F48)&gt;0,"",0),IFERROR((N(F48)-N(E48))/N(E48),0)))</f>
        <v/>
      </c>
      <c r="I48" s="15">
        <f>IF(C48="","",IF(MasaOryg=0,"",N(E48)/MasaOryg))</f>
        <v/>
      </c>
      <c r="J48" s="15">
        <f>IF(C48="","",IF(MasaWlasna=0,"",N(F48)/MasaWlasna))</f>
        <v/>
      </c>
      <c r="K48" s="32">
        <f>IF(C48="","",IF(AND(N(E48)&gt;0,N(F48)=0),"USUNIĘTO",IF(AND(N(E48)=0,N(F48)&gt;0),"DODANO",IF(N(F48)&gt;N(E48),"ZWIĘKSZONO",IF(N(F48)&lt;N(E48),"ZMNIEJSZONO","BEZ ZMIAN")))))</f>
        <v/>
      </c>
      <c r="L48" s="8" t="n"/>
      <c r="M48" s="30">
        <f>IF(C48="","",IFERROR(N(F48)*MasaDocelowa/MasaWlasna,0))</f>
        <v/>
      </c>
      <c r="N48" s="32">
        <f>IF(C48="","",IF(COUNTIF($P$12:$P$51,P48)&gt;1,"DUPLIKAT","OK"))</f>
        <v/>
      </c>
      <c r="O48" s="32">
        <f>IF(C48="","",IF(B48="","BRAK SYSTEMU",IF(ISERROR(VLOOKUP(P48,PigmentyKlucz,1,FALSE)),"BRAK W BAZIE","OK")))</f>
        <v/>
      </c>
      <c r="P48" s="14">
        <f>IF(C48="","",B48&amp;"|"&amp;IF(ISNUMBER(FIND(" | ",C48)),TRIM(LEFT(C48,FIND(" | ",C48)-1)),C48))</f>
        <v/>
      </c>
    </row>
    <row r="49">
      <c r="A49" s="14">
        <f>IF(C49="","",38)</f>
        <v/>
      </c>
      <c r="B49" s="27" t="n"/>
      <c r="C49" s="27" t="n"/>
      <c r="D49" s="14">
        <f>IF(C49="","",IFERROR(VLOOKUP(P49,PigmentyKlucz,4,FALSE),"BRAK W BAZIE"))</f>
        <v/>
      </c>
      <c r="E49" s="30">
        <f>IF(C49="","",IFERROR(SUMIF(RECEPTURA_ORYGINALNA!$I$12:$I$51,P49,RECEPTURA_ORYGINALNA!$E$12:$E$51),0))</f>
        <v/>
      </c>
      <c r="F49" s="31" t="n"/>
      <c r="G49" s="30">
        <f>IF(C49="","",N(F49)-N(E49))</f>
        <v/>
      </c>
      <c r="H49" s="15">
        <f>IF(C49="","",IF(N(E49)=0,IF(N(F49)&gt;0,"",0),IFERROR((N(F49)-N(E49))/N(E49),0)))</f>
        <v/>
      </c>
      <c r="I49" s="15">
        <f>IF(C49="","",IF(MasaOryg=0,"",N(E49)/MasaOryg))</f>
        <v/>
      </c>
      <c r="J49" s="15">
        <f>IF(C49="","",IF(MasaWlasna=0,"",N(F49)/MasaWlasna))</f>
        <v/>
      </c>
      <c r="K49" s="32">
        <f>IF(C49="","",IF(AND(N(E49)&gt;0,N(F49)=0),"USUNIĘTO",IF(AND(N(E49)=0,N(F49)&gt;0),"DODANO",IF(N(F49)&gt;N(E49),"ZWIĘKSZONO",IF(N(F49)&lt;N(E49),"ZMNIEJSZONO","BEZ ZMIAN")))))</f>
        <v/>
      </c>
      <c r="L49" s="8" t="n"/>
      <c r="M49" s="30">
        <f>IF(C49="","",IFERROR(N(F49)*MasaDocelowa/MasaWlasna,0))</f>
        <v/>
      </c>
      <c r="N49" s="32">
        <f>IF(C49="","",IF(COUNTIF($P$12:$P$51,P49)&gt;1,"DUPLIKAT","OK"))</f>
        <v/>
      </c>
      <c r="O49" s="32">
        <f>IF(C49="","",IF(B49="","BRAK SYSTEMU",IF(ISERROR(VLOOKUP(P49,PigmentyKlucz,1,FALSE)),"BRAK W BAZIE","OK")))</f>
        <v/>
      </c>
      <c r="P49" s="14">
        <f>IF(C49="","",B49&amp;"|"&amp;IF(ISNUMBER(FIND(" | ",C49)),TRIM(LEFT(C49,FIND(" | ",C49)-1)),C49))</f>
        <v/>
      </c>
    </row>
    <row r="50">
      <c r="A50" s="14">
        <f>IF(C50="","",39)</f>
        <v/>
      </c>
      <c r="B50" s="27" t="n"/>
      <c r="C50" s="27" t="n"/>
      <c r="D50" s="14">
        <f>IF(C50="","",IFERROR(VLOOKUP(P50,PigmentyKlucz,4,FALSE),"BRAK W BAZIE"))</f>
        <v/>
      </c>
      <c r="E50" s="30">
        <f>IF(C50="","",IFERROR(SUMIF(RECEPTURA_ORYGINALNA!$I$12:$I$51,P50,RECEPTURA_ORYGINALNA!$E$12:$E$51),0))</f>
        <v/>
      </c>
      <c r="F50" s="31" t="n"/>
      <c r="G50" s="30">
        <f>IF(C50="","",N(F50)-N(E50))</f>
        <v/>
      </c>
      <c r="H50" s="15">
        <f>IF(C50="","",IF(N(E50)=0,IF(N(F50)&gt;0,"",0),IFERROR((N(F50)-N(E50))/N(E50),0)))</f>
        <v/>
      </c>
      <c r="I50" s="15">
        <f>IF(C50="","",IF(MasaOryg=0,"",N(E50)/MasaOryg))</f>
        <v/>
      </c>
      <c r="J50" s="15">
        <f>IF(C50="","",IF(MasaWlasna=0,"",N(F50)/MasaWlasna))</f>
        <v/>
      </c>
      <c r="K50" s="32">
        <f>IF(C50="","",IF(AND(N(E50)&gt;0,N(F50)=0),"USUNIĘTO",IF(AND(N(E50)=0,N(F50)&gt;0),"DODANO",IF(N(F50)&gt;N(E50),"ZWIĘKSZONO",IF(N(F50)&lt;N(E50),"ZMNIEJSZONO","BEZ ZMIAN")))))</f>
        <v/>
      </c>
      <c r="L50" s="8" t="n"/>
      <c r="M50" s="30">
        <f>IF(C50="","",IFERROR(N(F50)*MasaDocelowa/MasaWlasna,0))</f>
        <v/>
      </c>
      <c r="N50" s="32">
        <f>IF(C50="","",IF(COUNTIF($P$12:$P$51,P50)&gt;1,"DUPLIKAT","OK"))</f>
        <v/>
      </c>
      <c r="O50" s="32">
        <f>IF(C50="","",IF(B50="","BRAK SYSTEMU",IF(ISERROR(VLOOKUP(P50,PigmentyKlucz,1,FALSE)),"BRAK W BAZIE","OK")))</f>
        <v/>
      </c>
      <c r="P50" s="14">
        <f>IF(C50="","",B50&amp;"|"&amp;IF(ISNUMBER(FIND(" | ",C50)),TRIM(LEFT(C50,FIND(" | ",C50)-1)),C50))</f>
        <v/>
      </c>
    </row>
    <row r="51">
      <c r="A51" s="14">
        <f>IF(C51="","",40)</f>
        <v/>
      </c>
      <c r="B51" s="27" t="n"/>
      <c r="C51" s="27" t="n"/>
      <c r="D51" s="14">
        <f>IF(C51="","",IFERROR(VLOOKUP(P51,PigmentyKlucz,4,FALSE),"BRAK W BAZIE"))</f>
        <v/>
      </c>
      <c r="E51" s="30">
        <f>IF(C51="","",IFERROR(SUMIF(RECEPTURA_ORYGINALNA!$I$12:$I$51,P51,RECEPTURA_ORYGINALNA!$E$12:$E$51),0))</f>
        <v/>
      </c>
      <c r="F51" s="31" t="n"/>
      <c r="G51" s="30">
        <f>IF(C51="","",N(F51)-N(E51))</f>
        <v/>
      </c>
      <c r="H51" s="15">
        <f>IF(C51="","",IF(N(E51)=0,IF(N(F51)&gt;0,"",0),IFERROR((N(F51)-N(E51))/N(E51),0)))</f>
        <v/>
      </c>
      <c r="I51" s="15">
        <f>IF(C51="","",IF(MasaOryg=0,"",N(E51)/MasaOryg))</f>
        <v/>
      </c>
      <c r="J51" s="15">
        <f>IF(C51="","",IF(MasaWlasna=0,"",N(F51)/MasaWlasna))</f>
        <v/>
      </c>
      <c r="K51" s="32">
        <f>IF(C51="","",IF(AND(N(E51)&gt;0,N(F51)=0),"USUNIĘTO",IF(AND(N(E51)=0,N(F51)&gt;0),"DODANO",IF(N(F51)&gt;N(E51),"ZWIĘKSZONO",IF(N(F51)&lt;N(E51),"ZMNIEJSZONO","BEZ ZMIAN")))))</f>
        <v/>
      </c>
      <c r="L51" s="8" t="n"/>
      <c r="M51" s="30">
        <f>IF(C51="","",IFERROR(N(F51)*MasaDocelowa/MasaWlasna,0))</f>
        <v/>
      </c>
      <c r="N51" s="32">
        <f>IF(C51="","",IF(COUNTIF($P$12:$P$51,P51)&gt;1,"DUPLIKAT","OK"))</f>
        <v/>
      </c>
      <c r="O51" s="32">
        <f>IF(C51="","",IF(B51="","BRAK SYSTEMU",IF(ISERROR(VLOOKUP(P51,PigmentyKlucz,1,FALSE)),"BRAK W BAZIE","OK")))</f>
        <v/>
      </c>
      <c r="P51" s="14">
        <f>IF(C51="","",B51&amp;"|"&amp;IF(ISNUMBER(FIND(" | ",C51)),TRIM(LEFT(C51,FIND(" | ",C51)-1)),C51))</f>
        <v/>
      </c>
    </row>
  </sheetData>
  <autoFilter ref="A11:P51"/>
  <mergeCells count="5">
    <mergeCell ref="A1:P1"/>
    <mergeCell ref="C5:D5"/>
    <mergeCell ref="A6:P6"/>
    <mergeCell ref="A7:P8"/>
    <mergeCell ref="A2:P2"/>
  </mergeCells>
  <conditionalFormatting sqref="K12:K51">
    <cfRule type="cellIs" priority="1" operator="equal" dxfId="4">
      <formula>"BEZ ZMIAN"</formula>
    </cfRule>
    <cfRule type="cellIs" priority="2" operator="equal" dxfId="1">
      <formula>"ZWIĘKSZONO"</formula>
    </cfRule>
    <cfRule type="cellIs" priority="3" operator="equal" dxfId="5">
      <formula>"ZMNIEJSZONO"</formula>
    </cfRule>
    <cfRule type="cellIs" priority="4" operator="equal" dxfId="6">
      <formula>"DODANO"</formula>
    </cfRule>
    <cfRule type="cellIs" priority="5" operator="equal" dxfId="0">
      <formula>"USUNIĘTO"</formula>
    </cfRule>
  </conditionalFormatting>
  <conditionalFormatting sqref="N12:N51">
    <cfRule type="cellIs" priority="6" operator="equal" dxfId="2">
      <formula>"DUPLIKAT"</formula>
    </cfRule>
  </conditionalFormatting>
  <conditionalFormatting sqref="O12:O51">
    <cfRule type="cellIs" priority="7" operator="equal" dxfId="3">
      <formula>"BRAK W BAZIE"</formula>
    </cfRule>
  </conditionalFormatting>
  <dataValidations count="3">
    <dataValidation sqref="B12:B51" showDropDown="0" showInputMessage="1" showErrorMessage="1" allowBlank="1" errorTitle="Niedozwolona wartość" error="Wybierz wartość z listy." promptTitle="Wybór" prompt="Wybierz z listy rozwijanej." type="list">
      <formula1>=Lista_Systemow</formula1>
    </dataValidation>
    <dataValidation sqref="F12:F51" showDropDown="0" showInputMessage="0" showErrorMessage="1" allowBlank="1" errorTitle="Ilość ujemna" error="Ilość nie może być ujemna." type="decimal" operator="greaterThanOrEqual">
      <formula1>0</formula1>
    </dataValidation>
    <dataValidation sqref="C12:C51" showDropDown="0" showInputMessage="1" showErrorMessage="0" allowBlank="1" promptTitle="NR PIGMENTU" prompt="Wybierz pigment z listy (baza = SYSTEM w tym wierszu). Nie wpisuj kodu ręcznie." type="list">
      <formula1>=INDIRECT(IF($B12="DUXONE",LISTY!$K$9,LISTY!$J$9))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8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8" customWidth="1" min="3" max="3"/>
    <col width="14" customWidth="1" min="4" max="4"/>
  </cols>
  <sheetData>
    <row r="1" ht="28" customHeight="1">
      <c r="A1" s="1" t="inlineStr">
        <is>
          <t>ANALIZA ZMIAN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</row>
    <row r="2" ht="18" customHeight="1">
      <c r="A2" s="3" t="inlineStr">
        <is>
          <t>KPI i wykresy odświeżają się po przeliczeniu formuł (F9 / LibreOffice: Dane → Przelicz).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</row>
    <row r="3">
      <c r="A3" s="7" t="inlineStr">
        <is>
          <t>Nazwa</t>
        </is>
      </c>
      <c r="C3" s="14">
        <f>Meta_Nazwa</f>
        <v/>
      </c>
      <c r="E3" s="7" t="inlineStr">
        <is>
          <t>Numer</t>
        </is>
      </c>
      <c r="F3" s="14">
        <f>Meta_Numer</f>
        <v/>
      </c>
      <c r="H3" s="7" t="inlineStr">
        <is>
          <t>System</t>
        </is>
      </c>
      <c r="I3" s="14">
        <f>Meta_System</f>
        <v/>
      </c>
    </row>
    <row r="4">
      <c r="A4" s="7" t="inlineStr">
        <is>
          <t>Wersja</t>
        </is>
      </c>
      <c r="C4" s="14">
        <f>Meta_Wersja</f>
        <v/>
      </c>
      <c r="E4" s="7" t="inlineStr">
        <is>
          <t>Data</t>
        </is>
      </c>
      <c r="F4" s="23">
        <f>Meta_Data</f>
        <v/>
      </c>
      <c r="H4" s="7" t="inlineStr">
        <is>
          <t>Status %</t>
        </is>
      </c>
      <c r="I4" s="14">
        <f>StatusUdzialow</f>
        <v/>
      </c>
    </row>
    <row r="6">
      <c r="A6" s="5" t="inlineStr">
        <is>
          <t>Wskaźniki</t>
        </is>
      </c>
    </row>
    <row r="7">
      <c r="A7" s="7" t="inlineStr">
        <is>
          <t>Masa oryginalna (g)</t>
        </is>
      </c>
      <c r="B7" s="11">
        <f>MasaOryg</f>
        <v/>
      </c>
    </row>
    <row r="8">
      <c r="A8" s="7" t="inlineStr">
        <is>
          <t>Masa własna (g)</t>
        </is>
      </c>
      <c r="B8" s="11">
        <f>MasaWlasna</f>
        <v/>
      </c>
    </row>
    <row r="9">
      <c r="A9" s="7" t="inlineStr">
        <is>
          <t>Różnica masy (g)</t>
        </is>
      </c>
      <c r="B9" s="11">
        <f>MasaWlasna-MasaOryg</f>
        <v/>
      </c>
    </row>
    <row r="10">
      <c r="A10" s="7" t="inlineStr">
        <is>
          <t>Liczba pigmentów (własna)</t>
        </is>
      </c>
      <c r="B10" s="33">
        <f>COUNTIF(RECEPTURA_WLASNA!C12:C51,"&lt;&gt;")</f>
        <v/>
      </c>
    </row>
    <row r="11">
      <c r="A11" s="7" t="inlineStr">
        <is>
          <t>Dodane</t>
        </is>
      </c>
      <c r="B11" s="33">
        <f>COUNTIF(RECEPTURA_WLASNA!K12:K51,"DODANO")</f>
        <v/>
      </c>
    </row>
    <row r="12">
      <c r="A12" s="7" t="inlineStr">
        <is>
          <t>Usunięte</t>
        </is>
      </c>
      <c r="B12" s="33">
        <f>COUNTIF(RECEPTURA_WLASNA!K12:K51,"USUNIĘTO")</f>
        <v/>
      </c>
    </row>
    <row r="13">
      <c r="A13" s="7" t="inlineStr">
        <is>
          <t>Zwiększone</t>
        </is>
      </c>
      <c r="B13" s="33">
        <f>COUNTIF(RECEPTURA_WLASNA!K12:K51,"ZWIĘKSZONO")</f>
        <v/>
      </c>
    </row>
    <row r="14">
      <c r="A14" s="7" t="inlineStr">
        <is>
          <t>Zmniejszone</t>
        </is>
      </c>
      <c r="B14" s="33">
        <f>COUNTIF(RECEPTURA_WLASNA!K12:K51,"ZMNIEJSZONO")</f>
        <v/>
      </c>
    </row>
    <row r="15">
      <c r="A15" s="7" t="inlineStr">
        <is>
          <t>Bez zmian</t>
        </is>
      </c>
      <c r="B15" s="33">
        <f>COUNTIF(RECEPTURA_WLASNA!K12:K51,"BEZ ZMIAN")</f>
        <v/>
      </c>
    </row>
    <row r="16">
      <c r="A16" s="7" t="inlineStr">
        <is>
          <t>Największa zmiana %</t>
        </is>
      </c>
      <c r="B16" s="15">
        <f>IFERROR(MAX(DANE_WYKRESOW!G9:G48),0)</f>
        <v/>
      </c>
    </row>
    <row r="17">
      <c r="A17" s="7" t="inlineStr">
        <is>
          <t>Suma % własna</t>
        </is>
      </c>
      <c r="B17" s="15">
        <f>IFERROR(SUM(RECEPTURA_WLASNA!J12:J51),0)</f>
        <v/>
      </c>
    </row>
    <row r="18">
      <c r="A18" s="7" t="inlineStr">
        <is>
          <t>Suma % oryginał</t>
        </is>
      </c>
      <c r="B18" s="15">
        <f>IFERROR(SUM(RECEPTURA_ORYGINALNA!G12:G51),0)</f>
        <v/>
      </c>
    </row>
  </sheetData>
  <mergeCells count="3">
    <mergeCell ref="A2:L2"/>
    <mergeCell ref="A1:L1"/>
    <mergeCell ref="A6:D6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S104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6" customWidth="1" min="3" max="3"/>
    <col width="32" customWidth="1" min="4" max="4"/>
    <col width="12" customWidth="1" min="5" max="5"/>
    <col width="10" customWidth="1" min="6" max="6"/>
    <col width="14" customWidth="1" min="7" max="7"/>
    <col width="10" customWidth="1" min="8" max="8"/>
  </cols>
  <sheetData>
    <row r="1" ht="28" customHeight="1">
      <c r="A1" s="1" t="inlineStr">
        <is>
          <t>RAPORT RECEPTURY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</row>
    <row r="2" ht="18" customHeight="1">
      <c r="A2" s="3" t="inlineStr">
        <is>
          <t>Arkusz do wydruku. Ustawienia: A4, poziomo, dopasuj do szerokości.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</row>
    <row r="4">
      <c r="A4" s="5" t="inlineStr">
        <is>
          <t>INFORMACJE</t>
        </is>
      </c>
    </row>
    <row r="5">
      <c r="A5" s="34" t="inlineStr">
        <is>
          <t>Nazwa</t>
        </is>
      </c>
      <c r="B5" s="14">
        <f>Meta_Nazwa</f>
        <v/>
      </c>
      <c r="C5" s="34" t="inlineStr">
        <is>
          <t>Kod koloru</t>
        </is>
      </c>
      <c r="D5" s="14">
        <f>Meta_Kod</f>
        <v/>
      </c>
      <c r="E5" s="34" t="inlineStr">
        <is>
          <t>System bazowy</t>
        </is>
      </c>
      <c r="F5" s="14">
        <f>Meta_System</f>
        <v/>
      </c>
    </row>
    <row r="6">
      <c r="A6" s="34" t="inlineStr">
        <is>
          <t>Numer</t>
        </is>
      </c>
      <c r="B6" s="14">
        <f>Meta_Numer</f>
        <v/>
      </c>
      <c r="C6" s="34" t="inlineStr">
        <is>
          <t>Wersja</t>
        </is>
      </c>
      <c r="D6" s="14">
        <f>Meta_Wersja</f>
        <v/>
      </c>
      <c r="E6" s="34" t="inlineStr">
        <is>
          <t>Data</t>
        </is>
      </c>
      <c r="F6" s="23">
        <f>Meta_Data</f>
        <v/>
      </c>
    </row>
    <row r="7">
      <c r="A7" s="34" t="inlineStr">
        <is>
          <t>Producent</t>
        </is>
      </c>
      <c r="B7" s="14">
        <f>Meta_Producent</f>
        <v/>
      </c>
      <c r="C7" s="34" t="inlineStr">
        <is>
          <t>Autor</t>
        </is>
      </c>
      <c r="D7" s="14">
        <f>Meta_Autor</f>
        <v/>
      </c>
      <c r="E7" s="34" t="inlineStr">
        <is>
          <t>Masa docelowa (g)</t>
        </is>
      </c>
      <c r="F7" s="11">
        <f>MasaDocelowa</f>
        <v/>
      </c>
    </row>
    <row r="8">
      <c r="A8" s="34" t="inlineStr">
        <is>
          <t>Uwagi</t>
        </is>
      </c>
      <c r="B8" s="14">
        <f>Meta_Uwagi</f>
        <v/>
      </c>
      <c r="C8" s="12" t="n"/>
      <c r="D8" s="12" t="n"/>
      <c r="E8" s="12" t="n"/>
      <c r="F8" s="12" t="n"/>
      <c r="G8" s="12" t="n"/>
      <c r="H8" s="13" t="n"/>
    </row>
    <row r="10">
      <c r="A10" s="5" t="inlineStr">
        <is>
          <t>SKŁAD (RECEPTURA WŁASNA — ILOŚĆ DO ZWAŻENIA)</t>
        </is>
      </c>
    </row>
    <row r="11">
      <c r="A11" s="26" t="inlineStr">
        <is>
          <t>LP</t>
        </is>
      </c>
      <c r="B11" s="26" t="inlineStr">
        <is>
          <t>SYSTEM</t>
        </is>
      </c>
      <c r="C11" s="26" t="inlineStr">
        <is>
          <t>PIGMENT</t>
        </is>
      </c>
      <c r="D11" s="26" t="inlineStr">
        <is>
          <t>NAZWA</t>
        </is>
      </c>
      <c r="E11" s="26" t="inlineStr">
        <is>
          <t>ILOŚĆ (g)</t>
        </is>
      </c>
      <c r="F11" s="26" t="inlineStr">
        <is>
          <t>%</t>
        </is>
      </c>
      <c r="G11" s="26" t="inlineStr">
        <is>
          <t>STATUS</t>
        </is>
      </c>
      <c r="H11" s="26" t="inlineStr">
        <is>
          <t>JEDN.</t>
        </is>
      </c>
    </row>
    <row r="12">
      <c r="A12" s="14">
        <f>IF(RECEPTURA_WLASNA!C12="","",RECEPTURA_WLASNA!A12)</f>
        <v/>
      </c>
      <c r="B12" s="14">
        <f>IF(RECEPTURA_WLASNA!C12="","",RECEPTURA_WLASNA!B12)</f>
        <v/>
      </c>
      <c r="C12" s="14">
        <f>IF(RECEPTURA_WLASNA!C12="","",RECEPTURA_WLASNA!C12)</f>
        <v/>
      </c>
      <c r="D12" s="14">
        <f>IF(RECEPTURA_WLASNA!C12="","",RECEPTURA_WLASNA!D12)</f>
        <v/>
      </c>
      <c r="E12" s="30">
        <f>IF(RECEPTURA_WLASNA!C12="","",RECEPTURA_WLASNA!M12)</f>
        <v/>
      </c>
      <c r="F12" s="15">
        <f>IF(RECEPTURA_WLASNA!C12="","",RECEPTURA_WLASNA!J12)</f>
        <v/>
      </c>
      <c r="G12" s="14">
        <f>IF(RECEPTURA_WLASNA!C12="","",RECEPTURA_WLASNA!K12)</f>
        <v/>
      </c>
      <c r="H12" s="14">
        <f>IF(RECEPTURA_WLASNA!C12="","",Ust_Jednostka)</f>
        <v/>
      </c>
    </row>
    <row r="13">
      <c r="A13" s="14">
        <f>IF(RECEPTURA_WLASNA!C13="","",RECEPTURA_WLASNA!A13)</f>
        <v/>
      </c>
      <c r="B13" s="14">
        <f>IF(RECEPTURA_WLASNA!C13="","",RECEPTURA_WLASNA!B13)</f>
        <v/>
      </c>
      <c r="C13" s="14">
        <f>IF(RECEPTURA_WLASNA!C13="","",RECEPTURA_WLASNA!C13)</f>
        <v/>
      </c>
      <c r="D13" s="14">
        <f>IF(RECEPTURA_WLASNA!C13="","",RECEPTURA_WLASNA!D13)</f>
        <v/>
      </c>
      <c r="E13" s="30">
        <f>IF(RECEPTURA_WLASNA!C13="","",RECEPTURA_WLASNA!M13)</f>
        <v/>
      </c>
      <c r="F13" s="15">
        <f>IF(RECEPTURA_WLASNA!C13="","",RECEPTURA_WLASNA!J13)</f>
        <v/>
      </c>
      <c r="G13" s="14">
        <f>IF(RECEPTURA_WLASNA!C13="","",RECEPTURA_WLASNA!K13)</f>
        <v/>
      </c>
      <c r="H13" s="14">
        <f>IF(RECEPTURA_WLASNA!C13="","",Ust_Jednostka)</f>
        <v/>
      </c>
    </row>
    <row r="14">
      <c r="A14" s="14">
        <f>IF(RECEPTURA_WLASNA!C14="","",RECEPTURA_WLASNA!A14)</f>
        <v/>
      </c>
      <c r="B14" s="14">
        <f>IF(RECEPTURA_WLASNA!C14="","",RECEPTURA_WLASNA!B14)</f>
        <v/>
      </c>
      <c r="C14" s="14">
        <f>IF(RECEPTURA_WLASNA!C14="","",RECEPTURA_WLASNA!C14)</f>
        <v/>
      </c>
      <c r="D14" s="14">
        <f>IF(RECEPTURA_WLASNA!C14="","",RECEPTURA_WLASNA!D14)</f>
        <v/>
      </c>
      <c r="E14" s="30">
        <f>IF(RECEPTURA_WLASNA!C14="","",RECEPTURA_WLASNA!M14)</f>
        <v/>
      </c>
      <c r="F14" s="15">
        <f>IF(RECEPTURA_WLASNA!C14="","",RECEPTURA_WLASNA!J14)</f>
        <v/>
      </c>
      <c r="G14" s="14">
        <f>IF(RECEPTURA_WLASNA!C14="","",RECEPTURA_WLASNA!K14)</f>
        <v/>
      </c>
      <c r="H14" s="14">
        <f>IF(RECEPTURA_WLASNA!C14="","",Ust_Jednostka)</f>
        <v/>
      </c>
    </row>
    <row r="15">
      <c r="A15" s="14">
        <f>IF(RECEPTURA_WLASNA!C15="","",RECEPTURA_WLASNA!A15)</f>
        <v/>
      </c>
      <c r="B15" s="14">
        <f>IF(RECEPTURA_WLASNA!C15="","",RECEPTURA_WLASNA!B15)</f>
        <v/>
      </c>
      <c r="C15" s="14">
        <f>IF(RECEPTURA_WLASNA!C15="","",RECEPTURA_WLASNA!C15)</f>
        <v/>
      </c>
      <c r="D15" s="14">
        <f>IF(RECEPTURA_WLASNA!C15="","",RECEPTURA_WLASNA!D15)</f>
        <v/>
      </c>
      <c r="E15" s="30">
        <f>IF(RECEPTURA_WLASNA!C15="","",RECEPTURA_WLASNA!M15)</f>
        <v/>
      </c>
      <c r="F15" s="15">
        <f>IF(RECEPTURA_WLASNA!C15="","",RECEPTURA_WLASNA!J15)</f>
        <v/>
      </c>
      <c r="G15" s="14">
        <f>IF(RECEPTURA_WLASNA!C15="","",RECEPTURA_WLASNA!K15)</f>
        <v/>
      </c>
      <c r="H15" s="14">
        <f>IF(RECEPTURA_WLASNA!C15="","",Ust_Jednostka)</f>
        <v/>
      </c>
    </row>
    <row r="16">
      <c r="A16" s="14">
        <f>IF(RECEPTURA_WLASNA!C16="","",RECEPTURA_WLASNA!A16)</f>
        <v/>
      </c>
      <c r="B16" s="14">
        <f>IF(RECEPTURA_WLASNA!C16="","",RECEPTURA_WLASNA!B16)</f>
        <v/>
      </c>
      <c r="C16" s="14">
        <f>IF(RECEPTURA_WLASNA!C16="","",RECEPTURA_WLASNA!C16)</f>
        <v/>
      </c>
      <c r="D16" s="14">
        <f>IF(RECEPTURA_WLASNA!C16="","",RECEPTURA_WLASNA!D16)</f>
        <v/>
      </c>
      <c r="E16" s="30">
        <f>IF(RECEPTURA_WLASNA!C16="","",RECEPTURA_WLASNA!M16)</f>
        <v/>
      </c>
      <c r="F16" s="15">
        <f>IF(RECEPTURA_WLASNA!C16="","",RECEPTURA_WLASNA!J16)</f>
        <v/>
      </c>
      <c r="G16" s="14">
        <f>IF(RECEPTURA_WLASNA!C16="","",RECEPTURA_WLASNA!K16)</f>
        <v/>
      </c>
      <c r="H16" s="14">
        <f>IF(RECEPTURA_WLASNA!C16="","",Ust_Jednostka)</f>
        <v/>
      </c>
    </row>
    <row r="17">
      <c r="A17" s="14">
        <f>IF(RECEPTURA_WLASNA!C17="","",RECEPTURA_WLASNA!A17)</f>
        <v/>
      </c>
      <c r="B17" s="14">
        <f>IF(RECEPTURA_WLASNA!C17="","",RECEPTURA_WLASNA!B17)</f>
        <v/>
      </c>
      <c r="C17" s="14">
        <f>IF(RECEPTURA_WLASNA!C17="","",RECEPTURA_WLASNA!C17)</f>
        <v/>
      </c>
      <c r="D17" s="14">
        <f>IF(RECEPTURA_WLASNA!C17="","",RECEPTURA_WLASNA!D17)</f>
        <v/>
      </c>
      <c r="E17" s="30">
        <f>IF(RECEPTURA_WLASNA!C17="","",RECEPTURA_WLASNA!M17)</f>
        <v/>
      </c>
      <c r="F17" s="15">
        <f>IF(RECEPTURA_WLASNA!C17="","",RECEPTURA_WLASNA!J17)</f>
        <v/>
      </c>
      <c r="G17" s="14">
        <f>IF(RECEPTURA_WLASNA!C17="","",RECEPTURA_WLASNA!K17)</f>
        <v/>
      </c>
      <c r="H17" s="14">
        <f>IF(RECEPTURA_WLASNA!C17="","",Ust_Jednostka)</f>
        <v/>
      </c>
    </row>
    <row r="18">
      <c r="A18" s="14">
        <f>IF(RECEPTURA_WLASNA!C18="","",RECEPTURA_WLASNA!A18)</f>
        <v/>
      </c>
      <c r="B18" s="14">
        <f>IF(RECEPTURA_WLASNA!C18="","",RECEPTURA_WLASNA!B18)</f>
        <v/>
      </c>
      <c r="C18" s="14">
        <f>IF(RECEPTURA_WLASNA!C18="","",RECEPTURA_WLASNA!C18)</f>
        <v/>
      </c>
      <c r="D18" s="14">
        <f>IF(RECEPTURA_WLASNA!C18="","",RECEPTURA_WLASNA!D18)</f>
        <v/>
      </c>
      <c r="E18" s="30">
        <f>IF(RECEPTURA_WLASNA!C18="","",RECEPTURA_WLASNA!M18)</f>
        <v/>
      </c>
      <c r="F18" s="15">
        <f>IF(RECEPTURA_WLASNA!C18="","",RECEPTURA_WLASNA!J18)</f>
        <v/>
      </c>
      <c r="G18" s="14">
        <f>IF(RECEPTURA_WLASNA!C18="","",RECEPTURA_WLASNA!K18)</f>
        <v/>
      </c>
      <c r="H18" s="14">
        <f>IF(RECEPTURA_WLASNA!C18="","",Ust_Jednostka)</f>
        <v/>
      </c>
    </row>
    <row r="19">
      <c r="A19" s="14">
        <f>IF(RECEPTURA_WLASNA!C19="","",RECEPTURA_WLASNA!A19)</f>
        <v/>
      </c>
      <c r="B19" s="14">
        <f>IF(RECEPTURA_WLASNA!C19="","",RECEPTURA_WLASNA!B19)</f>
        <v/>
      </c>
      <c r="C19" s="14">
        <f>IF(RECEPTURA_WLASNA!C19="","",RECEPTURA_WLASNA!C19)</f>
        <v/>
      </c>
      <c r="D19" s="14">
        <f>IF(RECEPTURA_WLASNA!C19="","",RECEPTURA_WLASNA!D19)</f>
        <v/>
      </c>
      <c r="E19" s="30">
        <f>IF(RECEPTURA_WLASNA!C19="","",RECEPTURA_WLASNA!M19)</f>
        <v/>
      </c>
      <c r="F19" s="15">
        <f>IF(RECEPTURA_WLASNA!C19="","",RECEPTURA_WLASNA!J19)</f>
        <v/>
      </c>
      <c r="G19" s="14">
        <f>IF(RECEPTURA_WLASNA!C19="","",RECEPTURA_WLASNA!K19)</f>
        <v/>
      </c>
      <c r="H19" s="14">
        <f>IF(RECEPTURA_WLASNA!C19="","",Ust_Jednostka)</f>
        <v/>
      </c>
    </row>
    <row r="20">
      <c r="A20" s="14">
        <f>IF(RECEPTURA_WLASNA!C20="","",RECEPTURA_WLASNA!A20)</f>
        <v/>
      </c>
      <c r="B20" s="14">
        <f>IF(RECEPTURA_WLASNA!C20="","",RECEPTURA_WLASNA!B20)</f>
        <v/>
      </c>
      <c r="C20" s="14">
        <f>IF(RECEPTURA_WLASNA!C20="","",RECEPTURA_WLASNA!C20)</f>
        <v/>
      </c>
      <c r="D20" s="14">
        <f>IF(RECEPTURA_WLASNA!C20="","",RECEPTURA_WLASNA!D20)</f>
        <v/>
      </c>
      <c r="E20" s="30">
        <f>IF(RECEPTURA_WLASNA!C20="","",RECEPTURA_WLASNA!M20)</f>
        <v/>
      </c>
      <c r="F20" s="15">
        <f>IF(RECEPTURA_WLASNA!C20="","",RECEPTURA_WLASNA!J20)</f>
        <v/>
      </c>
      <c r="G20" s="14">
        <f>IF(RECEPTURA_WLASNA!C20="","",RECEPTURA_WLASNA!K20)</f>
        <v/>
      </c>
      <c r="H20" s="14">
        <f>IF(RECEPTURA_WLASNA!C20="","",Ust_Jednostka)</f>
        <v/>
      </c>
    </row>
    <row r="21">
      <c r="A21" s="14">
        <f>IF(RECEPTURA_WLASNA!C21="","",RECEPTURA_WLASNA!A21)</f>
        <v/>
      </c>
      <c r="B21" s="14">
        <f>IF(RECEPTURA_WLASNA!C21="","",RECEPTURA_WLASNA!B21)</f>
        <v/>
      </c>
      <c r="C21" s="14">
        <f>IF(RECEPTURA_WLASNA!C21="","",RECEPTURA_WLASNA!C21)</f>
        <v/>
      </c>
      <c r="D21" s="14">
        <f>IF(RECEPTURA_WLASNA!C21="","",RECEPTURA_WLASNA!D21)</f>
        <v/>
      </c>
      <c r="E21" s="30">
        <f>IF(RECEPTURA_WLASNA!C21="","",RECEPTURA_WLASNA!M21)</f>
        <v/>
      </c>
      <c r="F21" s="15">
        <f>IF(RECEPTURA_WLASNA!C21="","",RECEPTURA_WLASNA!J21)</f>
        <v/>
      </c>
      <c r="G21" s="14">
        <f>IF(RECEPTURA_WLASNA!C21="","",RECEPTURA_WLASNA!K21)</f>
        <v/>
      </c>
      <c r="H21" s="14">
        <f>IF(RECEPTURA_WLASNA!C21="","",Ust_Jednostka)</f>
        <v/>
      </c>
    </row>
    <row r="22">
      <c r="A22" s="14">
        <f>IF(RECEPTURA_WLASNA!C22="","",RECEPTURA_WLASNA!A22)</f>
        <v/>
      </c>
      <c r="B22" s="14">
        <f>IF(RECEPTURA_WLASNA!C22="","",RECEPTURA_WLASNA!B22)</f>
        <v/>
      </c>
      <c r="C22" s="14">
        <f>IF(RECEPTURA_WLASNA!C22="","",RECEPTURA_WLASNA!C22)</f>
        <v/>
      </c>
      <c r="D22" s="14">
        <f>IF(RECEPTURA_WLASNA!C22="","",RECEPTURA_WLASNA!D22)</f>
        <v/>
      </c>
      <c r="E22" s="30">
        <f>IF(RECEPTURA_WLASNA!C22="","",RECEPTURA_WLASNA!M22)</f>
        <v/>
      </c>
      <c r="F22" s="15">
        <f>IF(RECEPTURA_WLASNA!C22="","",RECEPTURA_WLASNA!J22)</f>
        <v/>
      </c>
      <c r="G22" s="14">
        <f>IF(RECEPTURA_WLASNA!C22="","",RECEPTURA_WLASNA!K22)</f>
        <v/>
      </c>
      <c r="H22" s="14">
        <f>IF(RECEPTURA_WLASNA!C22="","",Ust_Jednostka)</f>
        <v/>
      </c>
    </row>
    <row r="23">
      <c r="A23" s="14">
        <f>IF(RECEPTURA_WLASNA!C23="","",RECEPTURA_WLASNA!A23)</f>
        <v/>
      </c>
      <c r="B23" s="14">
        <f>IF(RECEPTURA_WLASNA!C23="","",RECEPTURA_WLASNA!B23)</f>
        <v/>
      </c>
      <c r="C23" s="14">
        <f>IF(RECEPTURA_WLASNA!C23="","",RECEPTURA_WLASNA!C23)</f>
        <v/>
      </c>
      <c r="D23" s="14">
        <f>IF(RECEPTURA_WLASNA!C23="","",RECEPTURA_WLASNA!D23)</f>
        <v/>
      </c>
      <c r="E23" s="30">
        <f>IF(RECEPTURA_WLASNA!C23="","",RECEPTURA_WLASNA!M23)</f>
        <v/>
      </c>
      <c r="F23" s="15">
        <f>IF(RECEPTURA_WLASNA!C23="","",RECEPTURA_WLASNA!J23)</f>
        <v/>
      </c>
      <c r="G23" s="14">
        <f>IF(RECEPTURA_WLASNA!C23="","",RECEPTURA_WLASNA!K23)</f>
        <v/>
      </c>
      <c r="H23" s="14">
        <f>IF(RECEPTURA_WLASNA!C23="","",Ust_Jednostka)</f>
        <v/>
      </c>
    </row>
    <row r="24">
      <c r="A24" s="14">
        <f>IF(RECEPTURA_WLASNA!C24="","",RECEPTURA_WLASNA!A24)</f>
        <v/>
      </c>
      <c r="B24" s="14">
        <f>IF(RECEPTURA_WLASNA!C24="","",RECEPTURA_WLASNA!B24)</f>
        <v/>
      </c>
      <c r="C24" s="14">
        <f>IF(RECEPTURA_WLASNA!C24="","",RECEPTURA_WLASNA!C24)</f>
        <v/>
      </c>
      <c r="D24" s="14">
        <f>IF(RECEPTURA_WLASNA!C24="","",RECEPTURA_WLASNA!D24)</f>
        <v/>
      </c>
      <c r="E24" s="30">
        <f>IF(RECEPTURA_WLASNA!C24="","",RECEPTURA_WLASNA!M24)</f>
        <v/>
      </c>
      <c r="F24" s="15">
        <f>IF(RECEPTURA_WLASNA!C24="","",RECEPTURA_WLASNA!J24)</f>
        <v/>
      </c>
      <c r="G24" s="14">
        <f>IF(RECEPTURA_WLASNA!C24="","",RECEPTURA_WLASNA!K24)</f>
        <v/>
      </c>
      <c r="H24" s="14">
        <f>IF(RECEPTURA_WLASNA!C24="","",Ust_Jednostka)</f>
        <v/>
      </c>
    </row>
    <row r="25">
      <c r="A25" s="14">
        <f>IF(RECEPTURA_WLASNA!C25="","",RECEPTURA_WLASNA!A25)</f>
        <v/>
      </c>
      <c r="B25" s="14">
        <f>IF(RECEPTURA_WLASNA!C25="","",RECEPTURA_WLASNA!B25)</f>
        <v/>
      </c>
      <c r="C25" s="14">
        <f>IF(RECEPTURA_WLASNA!C25="","",RECEPTURA_WLASNA!C25)</f>
        <v/>
      </c>
      <c r="D25" s="14">
        <f>IF(RECEPTURA_WLASNA!C25="","",RECEPTURA_WLASNA!D25)</f>
        <v/>
      </c>
      <c r="E25" s="30">
        <f>IF(RECEPTURA_WLASNA!C25="","",RECEPTURA_WLASNA!M25)</f>
        <v/>
      </c>
      <c r="F25" s="15">
        <f>IF(RECEPTURA_WLASNA!C25="","",RECEPTURA_WLASNA!J25)</f>
        <v/>
      </c>
      <c r="G25" s="14">
        <f>IF(RECEPTURA_WLASNA!C25="","",RECEPTURA_WLASNA!K25)</f>
        <v/>
      </c>
      <c r="H25" s="14">
        <f>IF(RECEPTURA_WLASNA!C25="","",Ust_Jednostka)</f>
        <v/>
      </c>
    </row>
    <row r="26">
      <c r="A26" s="14">
        <f>IF(RECEPTURA_WLASNA!C26="","",RECEPTURA_WLASNA!A26)</f>
        <v/>
      </c>
      <c r="B26" s="14">
        <f>IF(RECEPTURA_WLASNA!C26="","",RECEPTURA_WLASNA!B26)</f>
        <v/>
      </c>
      <c r="C26" s="14">
        <f>IF(RECEPTURA_WLASNA!C26="","",RECEPTURA_WLASNA!C26)</f>
        <v/>
      </c>
      <c r="D26" s="14">
        <f>IF(RECEPTURA_WLASNA!C26="","",RECEPTURA_WLASNA!D26)</f>
        <v/>
      </c>
      <c r="E26" s="30">
        <f>IF(RECEPTURA_WLASNA!C26="","",RECEPTURA_WLASNA!M26)</f>
        <v/>
      </c>
      <c r="F26" s="15">
        <f>IF(RECEPTURA_WLASNA!C26="","",RECEPTURA_WLASNA!J26)</f>
        <v/>
      </c>
      <c r="G26" s="14">
        <f>IF(RECEPTURA_WLASNA!C26="","",RECEPTURA_WLASNA!K26)</f>
        <v/>
      </c>
      <c r="H26" s="14">
        <f>IF(RECEPTURA_WLASNA!C26="","",Ust_Jednostka)</f>
        <v/>
      </c>
    </row>
    <row r="27">
      <c r="A27" s="14">
        <f>IF(RECEPTURA_WLASNA!C27="","",RECEPTURA_WLASNA!A27)</f>
        <v/>
      </c>
      <c r="B27" s="14">
        <f>IF(RECEPTURA_WLASNA!C27="","",RECEPTURA_WLASNA!B27)</f>
        <v/>
      </c>
      <c r="C27" s="14">
        <f>IF(RECEPTURA_WLASNA!C27="","",RECEPTURA_WLASNA!C27)</f>
        <v/>
      </c>
      <c r="D27" s="14">
        <f>IF(RECEPTURA_WLASNA!C27="","",RECEPTURA_WLASNA!D27)</f>
        <v/>
      </c>
      <c r="E27" s="30">
        <f>IF(RECEPTURA_WLASNA!C27="","",RECEPTURA_WLASNA!M27)</f>
        <v/>
      </c>
      <c r="F27" s="15">
        <f>IF(RECEPTURA_WLASNA!C27="","",RECEPTURA_WLASNA!J27)</f>
        <v/>
      </c>
      <c r="G27" s="14">
        <f>IF(RECEPTURA_WLASNA!C27="","",RECEPTURA_WLASNA!K27)</f>
        <v/>
      </c>
      <c r="H27" s="14">
        <f>IF(RECEPTURA_WLASNA!C27="","",Ust_Jednostka)</f>
        <v/>
      </c>
    </row>
    <row r="28">
      <c r="A28" s="14">
        <f>IF(RECEPTURA_WLASNA!C28="","",RECEPTURA_WLASNA!A28)</f>
        <v/>
      </c>
      <c r="B28" s="14">
        <f>IF(RECEPTURA_WLASNA!C28="","",RECEPTURA_WLASNA!B28)</f>
        <v/>
      </c>
      <c r="C28" s="14">
        <f>IF(RECEPTURA_WLASNA!C28="","",RECEPTURA_WLASNA!C28)</f>
        <v/>
      </c>
      <c r="D28" s="14">
        <f>IF(RECEPTURA_WLASNA!C28="","",RECEPTURA_WLASNA!D28)</f>
        <v/>
      </c>
      <c r="E28" s="30">
        <f>IF(RECEPTURA_WLASNA!C28="","",RECEPTURA_WLASNA!M28)</f>
        <v/>
      </c>
      <c r="F28" s="15">
        <f>IF(RECEPTURA_WLASNA!C28="","",RECEPTURA_WLASNA!J28)</f>
        <v/>
      </c>
      <c r="G28" s="14">
        <f>IF(RECEPTURA_WLASNA!C28="","",RECEPTURA_WLASNA!K28)</f>
        <v/>
      </c>
      <c r="H28" s="14">
        <f>IF(RECEPTURA_WLASNA!C28="","",Ust_Jednostka)</f>
        <v/>
      </c>
    </row>
    <row r="29">
      <c r="A29" s="14">
        <f>IF(RECEPTURA_WLASNA!C29="","",RECEPTURA_WLASNA!A29)</f>
        <v/>
      </c>
      <c r="B29" s="14">
        <f>IF(RECEPTURA_WLASNA!C29="","",RECEPTURA_WLASNA!B29)</f>
        <v/>
      </c>
      <c r="C29" s="14">
        <f>IF(RECEPTURA_WLASNA!C29="","",RECEPTURA_WLASNA!C29)</f>
        <v/>
      </c>
      <c r="D29" s="14">
        <f>IF(RECEPTURA_WLASNA!C29="","",RECEPTURA_WLASNA!D29)</f>
        <v/>
      </c>
      <c r="E29" s="30">
        <f>IF(RECEPTURA_WLASNA!C29="","",RECEPTURA_WLASNA!M29)</f>
        <v/>
      </c>
      <c r="F29" s="15">
        <f>IF(RECEPTURA_WLASNA!C29="","",RECEPTURA_WLASNA!J29)</f>
        <v/>
      </c>
      <c r="G29" s="14">
        <f>IF(RECEPTURA_WLASNA!C29="","",RECEPTURA_WLASNA!K29)</f>
        <v/>
      </c>
      <c r="H29" s="14">
        <f>IF(RECEPTURA_WLASNA!C29="","",Ust_Jednostka)</f>
        <v/>
      </c>
    </row>
    <row r="30">
      <c r="A30" s="14">
        <f>IF(RECEPTURA_WLASNA!C30="","",RECEPTURA_WLASNA!A30)</f>
        <v/>
      </c>
      <c r="B30" s="14">
        <f>IF(RECEPTURA_WLASNA!C30="","",RECEPTURA_WLASNA!B30)</f>
        <v/>
      </c>
      <c r="C30" s="14">
        <f>IF(RECEPTURA_WLASNA!C30="","",RECEPTURA_WLASNA!C30)</f>
        <v/>
      </c>
      <c r="D30" s="14">
        <f>IF(RECEPTURA_WLASNA!C30="","",RECEPTURA_WLASNA!D30)</f>
        <v/>
      </c>
      <c r="E30" s="30">
        <f>IF(RECEPTURA_WLASNA!C30="","",RECEPTURA_WLASNA!M30)</f>
        <v/>
      </c>
      <c r="F30" s="15">
        <f>IF(RECEPTURA_WLASNA!C30="","",RECEPTURA_WLASNA!J30)</f>
        <v/>
      </c>
      <c r="G30" s="14">
        <f>IF(RECEPTURA_WLASNA!C30="","",RECEPTURA_WLASNA!K30)</f>
        <v/>
      </c>
      <c r="H30" s="14">
        <f>IF(RECEPTURA_WLASNA!C30="","",Ust_Jednostka)</f>
        <v/>
      </c>
    </row>
    <row r="31">
      <c r="A31" s="14">
        <f>IF(RECEPTURA_WLASNA!C31="","",RECEPTURA_WLASNA!A31)</f>
        <v/>
      </c>
      <c r="B31" s="14">
        <f>IF(RECEPTURA_WLASNA!C31="","",RECEPTURA_WLASNA!B31)</f>
        <v/>
      </c>
      <c r="C31" s="14">
        <f>IF(RECEPTURA_WLASNA!C31="","",RECEPTURA_WLASNA!C31)</f>
        <v/>
      </c>
      <c r="D31" s="14">
        <f>IF(RECEPTURA_WLASNA!C31="","",RECEPTURA_WLASNA!D31)</f>
        <v/>
      </c>
      <c r="E31" s="30">
        <f>IF(RECEPTURA_WLASNA!C31="","",RECEPTURA_WLASNA!M31)</f>
        <v/>
      </c>
      <c r="F31" s="15">
        <f>IF(RECEPTURA_WLASNA!C31="","",RECEPTURA_WLASNA!J31)</f>
        <v/>
      </c>
      <c r="G31" s="14">
        <f>IF(RECEPTURA_WLASNA!C31="","",RECEPTURA_WLASNA!K31)</f>
        <v/>
      </c>
      <c r="H31" s="14">
        <f>IF(RECEPTURA_WLASNA!C31="","",Ust_Jednostka)</f>
        <v/>
      </c>
    </row>
    <row r="32">
      <c r="A32" s="14">
        <f>IF(RECEPTURA_WLASNA!C32="","",RECEPTURA_WLASNA!A32)</f>
        <v/>
      </c>
      <c r="B32" s="14">
        <f>IF(RECEPTURA_WLASNA!C32="","",RECEPTURA_WLASNA!B32)</f>
        <v/>
      </c>
      <c r="C32" s="14">
        <f>IF(RECEPTURA_WLASNA!C32="","",RECEPTURA_WLASNA!C32)</f>
        <v/>
      </c>
      <c r="D32" s="14">
        <f>IF(RECEPTURA_WLASNA!C32="","",RECEPTURA_WLASNA!D32)</f>
        <v/>
      </c>
      <c r="E32" s="30">
        <f>IF(RECEPTURA_WLASNA!C32="","",RECEPTURA_WLASNA!M32)</f>
        <v/>
      </c>
      <c r="F32" s="15">
        <f>IF(RECEPTURA_WLASNA!C32="","",RECEPTURA_WLASNA!J32)</f>
        <v/>
      </c>
      <c r="G32" s="14">
        <f>IF(RECEPTURA_WLASNA!C32="","",RECEPTURA_WLASNA!K32)</f>
        <v/>
      </c>
      <c r="H32" s="14">
        <f>IF(RECEPTURA_WLASNA!C32="","",Ust_Jednostka)</f>
        <v/>
      </c>
    </row>
    <row r="33">
      <c r="A33" s="14">
        <f>IF(RECEPTURA_WLASNA!C33="","",RECEPTURA_WLASNA!A33)</f>
        <v/>
      </c>
      <c r="B33" s="14">
        <f>IF(RECEPTURA_WLASNA!C33="","",RECEPTURA_WLASNA!B33)</f>
        <v/>
      </c>
      <c r="C33" s="14">
        <f>IF(RECEPTURA_WLASNA!C33="","",RECEPTURA_WLASNA!C33)</f>
        <v/>
      </c>
      <c r="D33" s="14">
        <f>IF(RECEPTURA_WLASNA!C33="","",RECEPTURA_WLASNA!D33)</f>
        <v/>
      </c>
      <c r="E33" s="30">
        <f>IF(RECEPTURA_WLASNA!C33="","",RECEPTURA_WLASNA!M33)</f>
        <v/>
      </c>
      <c r="F33" s="15">
        <f>IF(RECEPTURA_WLASNA!C33="","",RECEPTURA_WLASNA!J33)</f>
        <v/>
      </c>
      <c r="G33" s="14">
        <f>IF(RECEPTURA_WLASNA!C33="","",RECEPTURA_WLASNA!K33)</f>
        <v/>
      </c>
      <c r="H33" s="14">
        <f>IF(RECEPTURA_WLASNA!C33="","",Ust_Jednostka)</f>
        <v/>
      </c>
    </row>
    <row r="34">
      <c r="A34" s="14">
        <f>IF(RECEPTURA_WLASNA!C34="","",RECEPTURA_WLASNA!A34)</f>
        <v/>
      </c>
      <c r="B34" s="14">
        <f>IF(RECEPTURA_WLASNA!C34="","",RECEPTURA_WLASNA!B34)</f>
        <v/>
      </c>
      <c r="C34" s="14">
        <f>IF(RECEPTURA_WLASNA!C34="","",RECEPTURA_WLASNA!C34)</f>
        <v/>
      </c>
      <c r="D34" s="14">
        <f>IF(RECEPTURA_WLASNA!C34="","",RECEPTURA_WLASNA!D34)</f>
        <v/>
      </c>
      <c r="E34" s="30">
        <f>IF(RECEPTURA_WLASNA!C34="","",RECEPTURA_WLASNA!M34)</f>
        <v/>
      </c>
      <c r="F34" s="15">
        <f>IF(RECEPTURA_WLASNA!C34="","",RECEPTURA_WLASNA!J34)</f>
        <v/>
      </c>
      <c r="G34" s="14">
        <f>IF(RECEPTURA_WLASNA!C34="","",RECEPTURA_WLASNA!K34)</f>
        <v/>
      </c>
      <c r="H34" s="14">
        <f>IF(RECEPTURA_WLASNA!C34="","",Ust_Jednostka)</f>
        <v/>
      </c>
    </row>
    <row r="35">
      <c r="A35" s="14">
        <f>IF(RECEPTURA_WLASNA!C35="","",RECEPTURA_WLASNA!A35)</f>
        <v/>
      </c>
      <c r="B35" s="14">
        <f>IF(RECEPTURA_WLASNA!C35="","",RECEPTURA_WLASNA!B35)</f>
        <v/>
      </c>
      <c r="C35" s="14">
        <f>IF(RECEPTURA_WLASNA!C35="","",RECEPTURA_WLASNA!C35)</f>
        <v/>
      </c>
      <c r="D35" s="14">
        <f>IF(RECEPTURA_WLASNA!C35="","",RECEPTURA_WLASNA!D35)</f>
        <v/>
      </c>
      <c r="E35" s="30">
        <f>IF(RECEPTURA_WLASNA!C35="","",RECEPTURA_WLASNA!M35)</f>
        <v/>
      </c>
      <c r="F35" s="15">
        <f>IF(RECEPTURA_WLASNA!C35="","",RECEPTURA_WLASNA!J35)</f>
        <v/>
      </c>
      <c r="G35" s="14">
        <f>IF(RECEPTURA_WLASNA!C35="","",RECEPTURA_WLASNA!K35)</f>
        <v/>
      </c>
      <c r="H35" s="14">
        <f>IF(RECEPTURA_WLASNA!C35="","",Ust_Jednostka)</f>
        <v/>
      </c>
    </row>
    <row r="36">
      <c r="A36" s="14">
        <f>IF(RECEPTURA_WLASNA!C36="","",RECEPTURA_WLASNA!A36)</f>
        <v/>
      </c>
      <c r="B36" s="14">
        <f>IF(RECEPTURA_WLASNA!C36="","",RECEPTURA_WLASNA!B36)</f>
        <v/>
      </c>
      <c r="C36" s="14">
        <f>IF(RECEPTURA_WLASNA!C36="","",RECEPTURA_WLASNA!C36)</f>
        <v/>
      </c>
      <c r="D36" s="14">
        <f>IF(RECEPTURA_WLASNA!C36="","",RECEPTURA_WLASNA!D36)</f>
        <v/>
      </c>
      <c r="E36" s="30">
        <f>IF(RECEPTURA_WLASNA!C36="","",RECEPTURA_WLASNA!M36)</f>
        <v/>
      </c>
      <c r="F36" s="15">
        <f>IF(RECEPTURA_WLASNA!C36="","",RECEPTURA_WLASNA!J36)</f>
        <v/>
      </c>
      <c r="G36" s="14">
        <f>IF(RECEPTURA_WLASNA!C36="","",RECEPTURA_WLASNA!K36)</f>
        <v/>
      </c>
      <c r="H36" s="14">
        <f>IF(RECEPTURA_WLASNA!C36="","",Ust_Jednostka)</f>
        <v/>
      </c>
    </row>
    <row r="37">
      <c r="A37" s="14">
        <f>IF(RECEPTURA_WLASNA!C37="","",RECEPTURA_WLASNA!A37)</f>
        <v/>
      </c>
      <c r="B37" s="14">
        <f>IF(RECEPTURA_WLASNA!C37="","",RECEPTURA_WLASNA!B37)</f>
        <v/>
      </c>
      <c r="C37" s="14">
        <f>IF(RECEPTURA_WLASNA!C37="","",RECEPTURA_WLASNA!C37)</f>
        <v/>
      </c>
      <c r="D37" s="14">
        <f>IF(RECEPTURA_WLASNA!C37="","",RECEPTURA_WLASNA!D37)</f>
        <v/>
      </c>
      <c r="E37" s="30">
        <f>IF(RECEPTURA_WLASNA!C37="","",RECEPTURA_WLASNA!M37)</f>
        <v/>
      </c>
      <c r="F37" s="15">
        <f>IF(RECEPTURA_WLASNA!C37="","",RECEPTURA_WLASNA!J37)</f>
        <v/>
      </c>
      <c r="G37" s="14">
        <f>IF(RECEPTURA_WLASNA!C37="","",RECEPTURA_WLASNA!K37)</f>
        <v/>
      </c>
      <c r="H37" s="14">
        <f>IF(RECEPTURA_WLASNA!C37="","",Ust_Jednostka)</f>
        <v/>
      </c>
    </row>
    <row r="38">
      <c r="A38" s="14">
        <f>IF(RECEPTURA_WLASNA!C38="","",RECEPTURA_WLASNA!A38)</f>
        <v/>
      </c>
      <c r="B38" s="14">
        <f>IF(RECEPTURA_WLASNA!C38="","",RECEPTURA_WLASNA!B38)</f>
        <v/>
      </c>
      <c r="C38" s="14">
        <f>IF(RECEPTURA_WLASNA!C38="","",RECEPTURA_WLASNA!C38)</f>
        <v/>
      </c>
      <c r="D38" s="14">
        <f>IF(RECEPTURA_WLASNA!C38="","",RECEPTURA_WLASNA!D38)</f>
        <v/>
      </c>
      <c r="E38" s="30">
        <f>IF(RECEPTURA_WLASNA!C38="","",RECEPTURA_WLASNA!M38)</f>
        <v/>
      </c>
      <c r="F38" s="15">
        <f>IF(RECEPTURA_WLASNA!C38="","",RECEPTURA_WLASNA!J38)</f>
        <v/>
      </c>
      <c r="G38" s="14">
        <f>IF(RECEPTURA_WLASNA!C38="","",RECEPTURA_WLASNA!K38)</f>
        <v/>
      </c>
      <c r="H38" s="14">
        <f>IF(RECEPTURA_WLASNA!C38="","",Ust_Jednostka)</f>
        <v/>
      </c>
    </row>
    <row r="39">
      <c r="A39" s="14">
        <f>IF(RECEPTURA_WLASNA!C39="","",RECEPTURA_WLASNA!A39)</f>
        <v/>
      </c>
      <c r="B39" s="14">
        <f>IF(RECEPTURA_WLASNA!C39="","",RECEPTURA_WLASNA!B39)</f>
        <v/>
      </c>
      <c r="C39" s="14">
        <f>IF(RECEPTURA_WLASNA!C39="","",RECEPTURA_WLASNA!C39)</f>
        <v/>
      </c>
      <c r="D39" s="14">
        <f>IF(RECEPTURA_WLASNA!C39="","",RECEPTURA_WLASNA!D39)</f>
        <v/>
      </c>
      <c r="E39" s="30">
        <f>IF(RECEPTURA_WLASNA!C39="","",RECEPTURA_WLASNA!M39)</f>
        <v/>
      </c>
      <c r="F39" s="15">
        <f>IF(RECEPTURA_WLASNA!C39="","",RECEPTURA_WLASNA!J39)</f>
        <v/>
      </c>
      <c r="G39" s="14">
        <f>IF(RECEPTURA_WLASNA!C39="","",RECEPTURA_WLASNA!K39)</f>
        <v/>
      </c>
      <c r="H39" s="14">
        <f>IF(RECEPTURA_WLASNA!C39="","",Ust_Jednostka)</f>
        <v/>
      </c>
    </row>
    <row r="40">
      <c r="A40" s="14">
        <f>IF(RECEPTURA_WLASNA!C40="","",RECEPTURA_WLASNA!A40)</f>
        <v/>
      </c>
      <c r="B40" s="14">
        <f>IF(RECEPTURA_WLASNA!C40="","",RECEPTURA_WLASNA!B40)</f>
        <v/>
      </c>
      <c r="C40" s="14">
        <f>IF(RECEPTURA_WLASNA!C40="","",RECEPTURA_WLASNA!C40)</f>
        <v/>
      </c>
      <c r="D40" s="14">
        <f>IF(RECEPTURA_WLASNA!C40="","",RECEPTURA_WLASNA!D40)</f>
        <v/>
      </c>
      <c r="E40" s="30">
        <f>IF(RECEPTURA_WLASNA!C40="","",RECEPTURA_WLASNA!M40)</f>
        <v/>
      </c>
      <c r="F40" s="15">
        <f>IF(RECEPTURA_WLASNA!C40="","",RECEPTURA_WLASNA!J40)</f>
        <v/>
      </c>
      <c r="G40" s="14">
        <f>IF(RECEPTURA_WLASNA!C40="","",RECEPTURA_WLASNA!K40)</f>
        <v/>
      </c>
      <c r="H40" s="14">
        <f>IF(RECEPTURA_WLASNA!C40="","",Ust_Jednostka)</f>
        <v/>
      </c>
    </row>
    <row r="41">
      <c r="A41" s="14">
        <f>IF(RECEPTURA_WLASNA!C41="","",RECEPTURA_WLASNA!A41)</f>
        <v/>
      </c>
      <c r="B41" s="14">
        <f>IF(RECEPTURA_WLASNA!C41="","",RECEPTURA_WLASNA!B41)</f>
        <v/>
      </c>
      <c r="C41" s="14">
        <f>IF(RECEPTURA_WLASNA!C41="","",RECEPTURA_WLASNA!C41)</f>
        <v/>
      </c>
      <c r="D41" s="14">
        <f>IF(RECEPTURA_WLASNA!C41="","",RECEPTURA_WLASNA!D41)</f>
        <v/>
      </c>
      <c r="E41" s="30">
        <f>IF(RECEPTURA_WLASNA!C41="","",RECEPTURA_WLASNA!M41)</f>
        <v/>
      </c>
      <c r="F41" s="15">
        <f>IF(RECEPTURA_WLASNA!C41="","",RECEPTURA_WLASNA!J41)</f>
        <v/>
      </c>
      <c r="G41" s="14">
        <f>IF(RECEPTURA_WLASNA!C41="","",RECEPTURA_WLASNA!K41)</f>
        <v/>
      </c>
      <c r="H41" s="14">
        <f>IF(RECEPTURA_WLASNA!C41="","",Ust_Jednostka)</f>
        <v/>
      </c>
    </row>
    <row r="42">
      <c r="A42" s="14">
        <f>IF(RECEPTURA_WLASNA!C42="","",RECEPTURA_WLASNA!A42)</f>
        <v/>
      </c>
      <c r="B42" s="14">
        <f>IF(RECEPTURA_WLASNA!C42="","",RECEPTURA_WLASNA!B42)</f>
        <v/>
      </c>
      <c r="C42" s="14">
        <f>IF(RECEPTURA_WLASNA!C42="","",RECEPTURA_WLASNA!C42)</f>
        <v/>
      </c>
      <c r="D42" s="14">
        <f>IF(RECEPTURA_WLASNA!C42="","",RECEPTURA_WLASNA!D42)</f>
        <v/>
      </c>
      <c r="E42" s="30">
        <f>IF(RECEPTURA_WLASNA!C42="","",RECEPTURA_WLASNA!M42)</f>
        <v/>
      </c>
      <c r="F42" s="15">
        <f>IF(RECEPTURA_WLASNA!C42="","",RECEPTURA_WLASNA!J42)</f>
        <v/>
      </c>
      <c r="G42" s="14">
        <f>IF(RECEPTURA_WLASNA!C42="","",RECEPTURA_WLASNA!K42)</f>
        <v/>
      </c>
      <c r="H42" s="14">
        <f>IF(RECEPTURA_WLASNA!C42="","",Ust_Jednostka)</f>
        <v/>
      </c>
    </row>
    <row r="43">
      <c r="A43" s="14">
        <f>IF(RECEPTURA_WLASNA!C43="","",RECEPTURA_WLASNA!A43)</f>
        <v/>
      </c>
      <c r="B43" s="14">
        <f>IF(RECEPTURA_WLASNA!C43="","",RECEPTURA_WLASNA!B43)</f>
        <v/>
      </c>
      <c r="C43" s="14">
        <f>IF(RECEPTURA_WLASNA!C43="","",RECEPTURA_WLASNA!C43)</f>
        <v/>
      </c>
      <c r="D43" s="14">
        <f>IF(RECEPTURA_WLASNA!C43="","",RECEPTURA_WLASNA!D43)</f>
        <v/>
      </c>
      <c r="E43" s="30">
        <f>IF(RECEPTURA_WLASNA!C43="","",RECEPTURA_WLASNA!M43)</f>
        <v/>
      </c>
      <c r="F43" s="15">
        <f>IF(RECEPTURA_WLASNA!C43="","",RECEPTURA_WLASNA!J43)</f>
        <v/>
      </c>
      <c r="G43" s="14">
        <f>IF(RECEPTURA_WLASNA!C43="","",RECEPTURA_WLASNA!K43)</f>
        <v/>
      </c>
      <c r="H43" s="14">
        <f>IF(RECEPTURA_WLASNA!C43="","",Ust_Jednostka)</f>
        <v/>
      </c>
    </row>
    <row r="44">
      <c r="A44" s="14">
        <f>IF(RECEPTURA_WLASNA!C44="","",RECEPTURA_WLASNA!A44)</f>
        <v/>
      </c>
      <c r="B44" s="14">
        <f>IF(RECEPTURA_WLASNA!C44="","",RECEPTURA_WLASNA!B44)</f>
        <v/>
      </c>
      <c r="C44" s="14">
        <f>IF(RECEPTURA_WLASNA!C44="","",RECEPTURA_WLASNA!C44)</f>
        <v/>
      </c>
      <c r="D44" s="14">
        <f>IF(RECEPTURA_WLASNA!C44="","",RECEPTURA_WLASNA!D44)</f>
        <v/>
      </c>
      <c r="E44" s="30">
        <f>IF(RECEPTURA_WLASNA!C44="","",RECEPTURA_WLASNA!M44)</f>
        <v/>
      </c>
      <c r="F44" s="15">
        <f>IF(RECEPTURA_WLASNA!C44="","",RECEPTURA_WLASNA!J44)</f>
        <v/>
      </c>
      <c r="G44" s="14">
        <f>IF(RECEPTURA_WLASNA!C44="","",RECEPTURA_WLASNA!K44)</f>
        <v/>
      </c>
      <c r="H44" s="14">
        <f>IF(RECEPTURA_WLASNA!C44="","",Ust_Jednostka)</f>
        <v/>
      </c>
    </row>
    <row r="45">
      <c r="A45" s="14">
        <f>IF(RECEPTURA_WLASNA!C45="","",RECEPTURA_WLASNA!A45)</f>
        <v/>
      </c>
      <c r="B45" s="14">
        <f>IF(RECEPTURA_WLASNA!C45="","",RECEPTURA_WLASNA!B45)</f>
        <v/>
      </c>
      <c r="C45" s="14">
        <f>IF(RECEPTURA_WLASNA!C45="","",RECEPTURA_WLASNA!C45)</f>
        <v/>
      </c>
      <c r="D45" s="14">
        <f>IF(RECEPTURA_WLASNA!C45="","",RECEPTURA_WLASNA!D45)</f>
        <v/>
      </c>
      <c r="E45" s="30">
        <f>IF(RECEPTURA_WLASNA!C45="","",RECEPTURA_WLASNA!M45)</f>
        <v/>
      </c>
      <c r="F45" s="15">
        <f>IF(RECEPTURA_WLASNA!C45="","",RECEPTURA_WLASNA!J45)</f>
        <v/>
      </c>
      <c r="G45" s="14">
        <f>IF(RECEPTURA_WLASNA!C45="","",RECEPTURA_WLASNA!K45)</f>
        <v/>
      </c>
      <c r="H45" s="14">
        <f>IF(RECEPTURA_WLASNA!C45="","",Ust_Jednostka)</f>
        <v/>
      </c>
    </row>
    <row r="46">
      <c r="A46" s="14">
        <f>IF(RECEPTURA_WLASNA!C46="","",RECEPTURA_WLASNA!A46)</f>
        <v/>
      </c>
      <c r="B46" s="14">
        <f>IF(RECEPTURA_WLASNA!C46="","",RECEPTURA_WLASNA!B46)</f>
        <v/>
      </c>
      <c r="C46" s="14">
        <f>IF(RECEPTURA_WLASNA!C46="","",RECEPTURA_WLASNA!C46)</f>
        <v/>
      </c>
      <c r="D46" s="14">
        <f>IF(RECEPTURA_WLASNA!C46="","",RECEPTURA_WLASNA!D46)</f>
        <v/>
      </c>
      <c r="E46" s="30">
        <f>IF(RECEPTURA_WLASNA!C46="","",RECEPTURA_WLASNA!M46)</f>
        <v/>
      </c>
      <c r="F46" s="15">
        <f>IF(RECEPTURA_WLASNA!C46="","",RECEPTURA_WLASNA!J46)</f>
        <v/>
      </c>
      <c r="G46" s="14">
        <f>IF(RECEPTURA_WLASNA!C46="","",RECEPTURA_WLASNA!K46)</f>
        <v/>
      </c>
      <c r="H46" s="14">
        <f>IF(RECEPTURA_WLASNA!C46="","",Ust_Jednostka)</f>
        <v/>
      </c>
    </row>
    <row r="47">
      <c r="A47" s="14">
        <f>IF(RECEPTURA_WLASNA!C47="","",RECEPTURA_WLASNA!A47)</f>
        <v/>
      </c>
      <c r="B47" s="14">
        <f>IF(RECEPTURA_WLASNA!C47="","",RECEPTURA_WLASNA!B47)</f>
        <v/>
      </c>
      <c r="C47" s="14">
        <f>IF(RECEPTURA_WLASNA!C47="","",RECEPTURA_WLASNA!C47)</f>
        <v/>
      </c>
      <c r="D47" s="14">
        <f>IF(RECEPTURA_WLASNA!C47="","",RECEPTURA_WLASNA!D47)</f>
        <v/>
      </c>
      <c r="E47" s="30">
        <f>IF(RECEPTURA_WLASNA!C47="","",RECEPTURA_WLASNA!M47)</f>
        <v/>
      </c>
      <c r="F47" s="15">
        <f>IF(RECEPTURA_WLASNA!C47="","",RECEPTURA_WLASNA!J47)</f>
        <v/>
      </c>
      <c r="G47" s="14">
        <f>IF(RECEPTURA_WLASNA!C47="","",RECEPTURA_WLASNA!K47)</f>
        <v/>
      </c>
      <c r="H47" s="14">
        <f>IF(RECEPTURA_WLASNA!C47="","",Ust_Jednostka)</f>
        <v/>
      </c>
    </row>
    <row r="48">
      <c r="A48" s="14">
        <f>IF(RECEPTURA_WLASNA!C48="","",RECEPTURA_WLASNA!A48)</f>
        <v/>
      </c>
      <c r="B48" s="14">
        <f>IF(RECEPTURA_WLASNA!C48="","",RECEPTURA_WLASNA!B48)</f>
        <v/>
      </c>
      <c r="C48" s="14">
        <f>IF(RECEPTURA_WLASNA!C48="","",RECEPTURA_WLASNA!C48)</f>
        <v/>
      </c>
      <c r="D48" s="14">
        <f>IF(RECEPTURA_WLASNA!C48="","",RECEPTURA_WLASNA!D48)</f>
        <v/>
      </c>
      <c r="E48" s="30">
        <f>IF(RECEPTURA_WLASNA!C48="","",RECEPTURA_WLASNA!M48)</f>
        <v/>
      </c>
      <c r="F48" s="15">
        <f>IF(RECEPTURA_WLASNA!C48="","",RECEPTURA_WLASNA!J48)</f>
        <v/>
      </c>
      <c r="G48" s="14">
        <f>IF(RECEPTURA_WLASNA!C48="","",RECEPTURA_WLASNA!K48)</f>
        <v/>
      </c>
      <c r="H48" s="14">
        <f>IF(RECEPTURA_WLASNA!C48="","",Ust_Jednostka)</f>
        <v/>
      </c>
    </row>
    <row r="49">
      <c r="A49" s="14">
        <f>IF(RECEPTURA_WLASNA!C49="","",RECEPTURA_WLASNA!A49)</f>
        <v/>
      </c>
      <c r="B49" s="14">
        <f>IF(RECEPTURA_WLASNA!C49="","",RECEPTURA_WLASNA!B49)</f>
        <v/>
      </c>
      <c r="C49" s="14">
        <f>IF(RECEPTURA_WLASNA!C49="","",RECEPTURA_WLASNA!C49)</f>
        <v/>
      </c>
      <c r="D49" s="14">
        <f>IF(RECEPTURA_WLASNA!C49="","",RECEPTURA_WLASNA!D49)</f>
        <v/>
      </c>
      <c r="E49" s="30">
        <f>IF(RECEPTURA_WLASNA!C49="","",RECEPTURA_WLASNA!M49)</f>
        <v/>
      </c>
      <c r="F49" s="15">
        <f>IF(RECEPTURA_WLASNA!C49="","",RECEPTURA_WLASNA!J49)</f>
        <v/>
      </c>
      <c r="G49" s="14">
        <f>IF(RECEPTURA_WLASNA!C49="","",RECEPTURA_WLASNA!K49)</f>
        <v/>
      </c>
      <c r="H49" s="14">
        <f>IF(RECEPTURA_WLASNA!C49="","",Ust_Jednostka)</f>
        <v/>
      </c>
    </row>
    <row r="50">
      <c r="A50" s="14">
        <f>IF(RECEPTURA_WLASNA!C50="","",RECEPTURA_WLASNA!A50)</f>
        <v/>
      </c>
      <c r="B50" s="14">
        <f>IF(RECEPTURA_WLASNA!C50="","",RECEPTURA_WLASNA!B50)</f>
        <v/>
      </c>
      <c r="C50" s="14">
        <f>IF(RECEPTURA_WLASNA!C50="","",RECEPTURA_WLASNA!C50)</f>
        <v/>
      </c>
      <c r="D50" s="14">
        <f>IF(RECEPTURA_WLASNA!C50="","",RECEPTURA_WLASNA!D50)</f>
        <v/>
      </c>
      <c r="E50" s="30">
        <f>IF(RECEPTURA_WLASNA!C50="","",RECEPTURA_WLASNA!M50)</f>
        <v/>
      </c>
      <c r="F50" s="15">
        <f>IF(RECEPTURA_WLASNA!C50="","",RECEPTURA_WLASNA!J50)</f>
        <v/>
      </c>
      <c r="G50" s="14">
        <f>IF(RECEPTURA_WLASNA!C50="","",RECEPTURA_WLASNA!K50)</f>
        <v/>
      </c>
      <c r="H50" s="14">
        <f>IF(RECEPTURA_WLASNA!C50="","",Ust_Jednostka)</f>
        <v/>
      </c>
    </row>
    <row r="51">
      <c r="A51" s="14">
        <f>IF(RECEPTURA_WLASNA!C51="","",RECEPTURA_WLASNA!A51)</f>
        <v/>
      </c>
      <c r="B51" s="14">
        <f>IF(RECEPTURA_WLASNA!C51="","",RECEPTURA_WLASNA!B51)</f>
        <v/>
      </c>
      <c r="C51" s="14">
        <f>IF(RECEPTURA_WLASNA!C51="","",RECEPTURA_WLASNA!C51)</f>
        <v/>
      </c>
      <c r="D51" s="14">
        <f>IF(RECEPTURA_WLASNA!C51="","",RECEPTURA_WLASNA!D51)</f>
        <v/>
      </c>
      <c r="E51" s="30">
        <f>IF(RECEPTURA_WLASNA!C51="","",RECEPTURA_WLASNA!M51)</f>
        <v/>
      </c>
      <c r="F51" s="15">
        <f>IF(RECEPTURA_WLASNA!C51="","",RECEPTURA_WLASNA!J51)</f>
        <v/>
      </c>
      <c r="G51" s="14">
        <f>IF(RECEPTURA_WLASNA!C51="","",RECEPTURA_WLASNA!K51)</f>
        <v/>
      </c>
      <c r="H51" s="14">
        <f>IF(RECEPTURA_WLASNA!C51="","",Ust_Jednostka)</f>
        <v/>
      </c>
    </row>
    <row r="53">
      <c r="A53" s="5" t="inlineStr">
        <is>
          <t>ZMIANY WZGLĘDEM ORYGINAŁU</t>
        </is>
      </c>
    </row>
    <row r="54">
      <c r="A54" s="26" t="inlineStr">
        <is>
          <t>LP</t>
        </is>
      </c>
      <c r="B54" s="26" t="inlineStr">
        <is>
          <t>PIGMENT</t>
        </is>
      </c>
      <c r="C54" s="26" t="inlineStr">
        <is>
          <t>SYSTEM</t>
        </is>
      </c>
      <c r="D54" s="26" t="inlineStr">
        <is>
          <t>ORYGINAŁ</t>
        </is>
      </c>
      <c r="E54" s="26" t="inlineStr">
        <is>
          <t>WŁASNA</t>
        </is>
      </c>
      <c r="F54" s="26" t="inlineStr">
        <is>
          <t>RÓŻNICA</t>
        </is>
      </c>
      <c r="G54" s="26" t="inlineStr">
        <is>
          <t>ZMIANA %</t>
        </is>
      </c>
      <c r="H54" s="26" t="inlineStr">
        <is>
          <t>STATUS</t>
        </is>
      </c>
    </row>
    <row r="55">
      <c r="A55" s="14">
        <f>IF(RECEPTURA_WLASNA!C12="","",RECEPTURA_WLASNA!A12)</f>
        <v/>
      </c>
      <c r="B55" s="14">
        <f>IF(RECEPTURA_WLASNA!C12="","",RECEPTURA_WLASNA!C12)</f>
        <v/>
      </c>
      <c r="C55" s="14">
        <f>IF(RECEPTURA_WLASNA!C12="","",RECEPTURA_WLASNA!B12)</f>
        <v/>
      </c>
      <c r="D55" s="30">
        <f>IF(RECEPTURA_WLASNA!C12="","",RECEPTURA_WLASNA!E12)</f>
        <v/>
      </c>
      <c r="E55" s="30">
        <f>IF(RECEPTURA_WLASNA!C12="","",RECEPTURA_WLASNA!F12)</f>
        <v/>
      </c>
      <c r="F55" s="30">
        <f>IF(RECEPTURA_WLASNA!C12="","",RECEPTURA_WLASNA!G12)</f>
        <v/>
      </c>
      <c r="G55" s="15">
        <f>IF(RECEPTURA_WLASNA!C12="","",RECEPTURA_WLASNA!H12)</f>
        <v/>
      </c>
      <c r="H55" s="14">
        <f>IF(RECEPTURA_WLASNA!C12="","",RECEPTURA_WLASNA!K12)</f>
        <v/>
      </c>
    </row>
    <row r="56">
      <c r="A56" s="14">
        <f>IF(RECEPTURA_WLASNA!C13="","",RECEPTURA_WLASNA!A13)</f>
        <v/>
      </c>
      <c r="B56" s="14">
        <f>IF(RECEPTURA_WLASNA!C13="","",RECEPTURA_WLASNA!C13)</f>
        <v/>
      </c>
      <c r="C56" s="14">
        <f>IF(RECEPTURA_WLASNA!C13="","",RECEPTURA_WLASNA!B13)</f>
        <v/>
      </c>
      <c r="D56" s="30">
        <f>IF(RECEPTURA_WLASNA!C13="","",RECEPTURA_WLASNA!E13)</f>
        <v/>
      </c>
      <c r="E56" s="30">
        <f>IF(RECEPTURA_WLASNA!C13="","",RECEPTURA_WLASNA!F13)</f>
        <v/>
      </c>
      <c r="F56" s="30">
        <f>IF(RECEPTURA_WLASNA!C13="","",RECEPTURA_WLASNA!G13)</f>
        <v/>
      </c>
      <c r="G56" s="15">
        <f>IF(RECEPTURA_WLASNA!C13="","",RECEPTURA_WLASNA!H13)</f>
        <v/>
      </c>
      <c r="H56" s="14">
        <f>IF(RECEPTURA_WLASNA!C13="","",RECEPTURA_WLASNA!K13)</f>
        <v/>
      </c>
    </row>
    <row r="57">
      <c r="A57" s="14">
        <f>IF(RECEPTURA_WLASNA!C14="","",RECEPTURA_WLASNA!A14)</f>
        <v/>
      </c>
      <c r="B57" s="14">
        <f>IF(RECEPTURA_WLASNA!C14="","",RECEPTURA_WLASNA!C14)</f>
        <v/>
      </c>
      <c r="C57" s="14">
        <f>IF(RECEPTURA_WLASNA!C14="","",RECEPTURA_WLASNA!B14)</f>
        <v/>
      </c>
      <c r="D57" s="30">
        <f>IF(RECEPTURA_WLASNA!C14="","",RECEPTURA_WLASNA!E14)</f>
        <v/>
      </c>
      <c r="E57" s="30">
        <f>IF(RECEPTURA_WLASNA!C14="","",RECEPTURA_WLASNA!F14)</f>
        <v/>
      </c>
      <c r="F57" s="30">
        <f>IF(RECEPTURA_WLASNA!C14="","",RECEPTURA_WLASNA!G14)</f>
        <v/>
      </c>
      <c r="G57" s="15">
        <f>IF(RECEPTURA_WLASNA!C14="","",RECEPTURA_WLASNA!H14)</f>
        <v/>
      </c>
      <c r="H57" s="14">
        <f>IF(RECEPTURA_WLASNA!C14="","",RECEPTURA_WLASNA!K14)</f>
        <v/>
      </c>
    </row>
    <row r="58">
      <c r="A58" s="14">
        <f>IF(RECEPTURA_WLASNA!C15="","",RECEPTURA_WLASNA!A15)</f>
        <v/>
      </c>
      <c r="B58" s="14">
        <f>IF(RECEPTURA_WLASNA!C15="","",RECEPTURA_WLASNA!C15)</f>
        <v/>
      </c>
      <c r="C58" s="14">
        <f>IF(RECEPTURA_WLASNA!C15="","",RECEPTURA_WLASNA!B15)</f>
        <v/>
      </c>
      <c r="D58" s="30">
        <f>IF(RECEPTURA_WLASNA!C15="","",RECEPTURA_WLASNA!E15)</f>
        <v/>
      </c>
      <c r="E58" s="30">
        <f>IF(RECEPTURA_WLASNA!C15="","",RECEPTURA_WLASNA!F15)</f>
        <v/>
      </c>
      <c r="F58" s="30">
        <f>IF(RECEPTURA_WLASNA!C15="","",RECEPTURA_WLASNA!G15)</f>
        <v/>
      </c>
      <c r="G58" s="15">
        <f>IF(RECEPTURA_WLASNA!C15="","",RECEPTURA_WLASNA!H15)</f>
        <v/>
      </c>
      <c r="H58" s="14">
        <f>IF(RECEPTURA_WLASNA!C15="","",RECEPTURA_WLASNA!K15)</f>
        <v/>
      </c>
    </row>
    <row r="59">
      <c r="A59" s="14">
        <f>IF(RECEPTURA_WLASNA!C16="","",RECEPTURA_WLASNA!A16)</f>
        <v/>
      </c>
      <c r="B59" s="14">
        <f>IF(RECEPTURA_WLASNA!C16="","",RECEPTURA_WLASNA!C16)</f>
        <v/>
      </c>
      <c r="C59" s="14">
        <f>IF(RECEPTURA_WLASNA!C16="","",RECEPTURA_WLASNA!B16)</f>
        <v/>
      </c>
      <c r="D59" s="30">
        <f>IF(RECEPTURA_WLASNA!C16="","",RECEPTURA_WLASNA!E16)</f>
        <v/>
      </c>
      <c r="E59" s="30">
        <f>IF(RECEPTURA_WLASNA!C16="","",RECEPTURA_WLASNA!F16)</f>
        <v/>
      </c>
      <c r="F59" s="30">
        <f>IF(RECEPTURA_WLASNA!C16="","",RECEPTURA_WLASNA!G16)</f>
        <v/>
      </c>
      <c r="G59" s="15">
        <f>IF(RECEPTURA_WLASNA!C16="","",RECEPTURA_WLASNA!H16)</f>
        <v/>
      </c>
      <c r="H59" s="14">
        <f>IF(RECEPTURA_WLASNA!C16="","",RECEPTURA_WLASNA!K16)</f>
        <v/>
      </c>
    </row>
    <row r="60">
      <c r="A60" s="14">
        <f>IF(RECEPTURA_WLASNA!C17="","",RECEPTURA_WLASNA!A17)</f>
        <v/>
      </c>
      <c r="B60" s="14">
        <f>IF(RECEPTURA_WLASNA!C17="","",RECEPTURA_WLASNA!C17)</f>
        <v/>
      </c>
      <c r="C60" s="14">
        <f>IF(RECEPTURA_WLASNA!C17="","",RECEPTURA_WLASNA!B17)</f>
        <v/>
      </c>
      <c r="D60" s="30">
        <f>IF(RECEPTURA_WLASNA!C17="","",RECEPTURA_WLASNA!E17)</f>
        <v/>
      </c>
      <c r="E60" s="30">
        <f>IF(RECEPTURA_WLASNA!C17="","",RECEPTURA_WLASNA!F17)</f>
        <v/>
      </c>
      <c r="F60" s="30">
        <f>IF(RECEPTURA_WLASNA!C17="","",RECEPTURA_WLASNA!G17)</f>
        <v/>
      </c>
      <c r="G60" s="15">
        <f>IF(RECEPTURA_WLASNA!C17="","",RECEPTURA_WLASNA!H17)</f>
        <v/>
      </c>
      <c r="H60" s="14">
        <f>IF(RECEPTURA_WLASNA!C17="","",RECEPTURA_WLASNA!K17)</f>
        <v/>
      </c>
    </row>
    <row r="61">
      <c r="A61" s="14">
        <f>IF(RECEPTURA_WLASNA!C18="","",RECEPTURA_WLASNA!A18)</f>
        <v/>
      </c>
      <c r="B61" s="14">
        <f>IF(RECEPTURA_WLASNA!C18="","",RECEPTURA_WLASNA!C18)</f>
        <v/>
      </c>
      <c r="C61" s="14">
        <f>IF(RECEPTURA_WLASNA!C18="","",RECEPTURA_WLASNA!B18)</f>
        <v/>
      </c>
      <c r="D61" s="30">
        <f>IF(RECEPTURA_WLASNA!C18="","",RECEPTURA_WLASNA!E18)</f>
        <v/>
      </c>
      <c r="E61" s="30">
        <f>IF(RECEPTURA_WLASNA!C18="","",RECEPTURA_WLASNA!F18)</f>
        <v/>
      </c>
      <c r="F61" s="30">
        <f>IF(RECEPTURA_WLASNA!C18="","",RECEPTURA_WLASNA!G18)</f>
        <v/>
      </c>
      <c r="G61" s="15">
        <f>IF(RECEPTURA_WLASNA!C18="","",RECEPTURA_WLASNA!H18)</f>
        <v/>
      </c>
      <c r="H61" s="14">
        <f>IF(RECEPTURA_WLASNA!C18="","",RECEPTURA_WLASNA!K18)</f>
        <v/>
      </c>
    </row>
    <row r="62">
      <c r="A62" s="14">
        <f>IF(RECEPTURA_WLASNA!C19="","",RECEPTURA_WLASNA!A19)</f>
        <v/>
      </c>
      <c r="B62" s="14">
        <f>IF(RECEPTURA_WLASNA!C19="","",RECEPTURA_WLASNA!C19)</f>
        <v/>
      </c>
      <c r="C62" s="14">
        <f>IF(RECEPTURA_WLASNA!C19="","",RECEPTURA_WLASNA!B19)</f>
        <v/>
      </c>
      <c r="D62" s="30">
        <f>IF(RECEPTURA_WLASNA!C19="","",RECEPTURA_WLASNA!E19)</f>
        <v/>
      </c>
      <c r="E62" s="30">
        <f>IF(RECEPTURA_WLASNA!C19="","",RECEPTURA_WLASNA!F19)</f>
        <v/>
      </c>
      <c r="F62" s="30">
        <f>IF(RECEPTURA_WLASNA!C19="","",RECEPTURA_WLASNA!G19)</f>
        <v/>
      </c>
      <c r="G62" s="15">
        <f>IF(RECEPTURA_WLASNA!C19="","",RECEPTURA_WLASNA!H19)</f>
        <v/>
      </c>
      <c r="H62" s="14">
        <f>IF(RECEPTURA_WLASNA!C19="","",RECEPTURA_WLASNA!K19)</f>
        <v/>
      </c>
    </row>
    <row r="63">
      <c r="A63" s="14">
        <f>IF(RECEPTURA_WLASNA!C20="","",RECEPTURA_WLASNA!A20)</f>
        <v/>
      </c>
      <c r="B63" s="14">
        <f>IF(RECEPTURA_WLASNA!C20="","",RECEPTURA_WLASNA!C20)</f>
        <v/>
      </c>
      <c r="C63" s="14">
        <f>IF(RECEPTURA_WLASNA!C20="","",RECEPTURA_WLASNA!B20)</f>
        <v/>
      </c>
      <c r="D63" s="30">
        <f>IF(RECEPTURA_WLASNA!C20="","",RECEPTURA_WLASNA!E20)</f>
        <v/>
      </c>
      <c r="E63" s="30">
        <f>IF(RECEPTURA_WLASNA!C20="","",RECEPTURA_WLASNA!F20)</f>
        <v/>
      </c>
      <c r="F63" s="30">
        <f>IF(RECEPTURA_WLASNA!C20="","",RECEPTURA_WLASNA!G20)</f>
        <v/>
      </c>
      <c r="G63" s="15">
        <f>IF(RECEPTURA_WLASNA!C20="","",RECEPTURA_WLASNA!H20)</f>
        <v/>
      </c>
      <c r="H63" s="14">
        <f>IF(RECEPTURA_WLASNA!C20="","",RECEPTURA_WLASNA!K20)</f>
        <v/>
      </c>
    </row>
    <row r="64">
      <c r="A64" s="14">
        <f>IF(RECEPTURA_WLASNA!C21="","",RECEPTURA_WLASNA!A21)</f>
        <v/>
      </c>
      <c r="B64" s="14">
        <f>IF(RECEPTURA_WLASNA!C21="","",RECEPTURA_WLASNA!C21)</f>
        <v/>
      </c>
      <c r="C64" s="14">
        <f>IF(RECEPTURA_WLASNA!C21="","",RECEPTURA_WLASNA!B21)</f>
        <v/>
      </c>
      <c r="D64" s="30">
        <f>IF(RECEPTURA_WLASNA!C21="","",RECEPTURA_WLASNA!E21)</f>
        <v/>
      </c>
      <c r="E64" s="30">
        <f>IF(RECEPTURA_WLASNA!C21="","",RECEPTURA_WLASNA!F21)</f>
        <v/>
      </c>
      <c r="F64" s="30">
        <f>IF(RECEPTURA_WLASNA!C21="","",RECEPTURA_WLASNA!G21)</f>
        <v/>
      </c>
      <c r="G64" s="15">
        <f>IF(RECEPTURA_WLASNA!C21="","",RECEPTURA_WLASNA!H21)</f>
        <v/>
      </c>
      <c r="H64" s="14">
        <f>IF(RECEPTURA_WLASNA!C21="","",RECEPTURA_WLASNA!K21)</f>
        <v/>
      </c>
    </row>
    <row r="65">
      <c r="A65" s="14">
        <f>IF(RECEPTURA_WLASNA!C22="","",RECEPTURA_WLASNA!A22)</f>
        <v/>
      </c>
      <c r="B65" s="14">
        <f>IF(RECEPTURA_WLASNA!C22="","",RECEPTURA_WLASNA!C22)</f>
        <v/>
      </c>
      <c r="C65" s="14">
        <f>IF(RECEPTURA_WLASNA!C22="","",RECEPTURA_WLASNA!B22)</f>
        <v/>
      </c>
      <c r="D65" s="30">
        <f>IF(RECEPTURA_WLASNA!C22="","",RECEPTURA_WLASNA!E22)</f>
        <v/>
      </c>
      <c r="E65" s="30">
        <f>IF(RECEPTURA_WLASNA!C22="","",RECEPTURA_WLASNA!F22)</f>
        <v/>
      </c>
      <c r="F65" s="30">
        <f>IF(RECEPTURA_WLASNA!C22="","",RECEPTURA_WLASNA!G22)</f>
        <v/>
      </c>
      <c r="G65" s="15">
        <f>IF(RECEPTURA_WLASNA!C22="","",RECEPTURA_WLASNA!H22)</f>
        <v/>
      </c>
      <c r="H65" s="14">
        <f>IF(RECEPTURA_WLASNA!C22="","",RECEPTURA_WLASNA!K22)</f>
        <v/>
      </c>
    </row>
    <row r="66">
      <c r="A66" s="14">
        <f>IF(RECEPTURA_WLASNA!C23="","",RECEPTURA_WLASNA!A23)</f>
        <v/>
      </c>
      <c r="B66" s="14">
        <f>IF(RECEPTURA_WLASNA!C23="","",RECEPTURA_WLASNA!C23)</f>
        <v/>
      </c>
      <c r="C66" s="14">
        <f>IF(RECEPTURA_WLASNA!C23="","",RECEPTURA_WLASNA!B23)</f>
        <v/>
      </c>
      <c r="D66" s="30">
        <f>IF(RECEPTURA_WLASNA!C23="","",RECEPTURA_WLASNA!E23)</f>
        <v/>
      </c>
      <c r="E66" s="30">
        <f>IF(RECEPTURA_WLASNA!C23="","",RECEPTURA_WLASNA!F23)</f>
        <v/>
      </c>
      <c r="F66" s="30">
        <f>IF(RECEPTURA_WLASNA!C23="","",RECEPTURA_WLASNA!G23)</f>
        <v/>
      </c>
      <c r="G66" s="15">
        <f>IF(RECEPTURA_WLASNA!C23="","",RECEPTURA_WLASNA!H23)</f>
        <v/>
      </c>
      <c r="H66" s="14">
        <f>IF(RECEPTURA_WLASNA!C23="","",RECEPTURA_WLASNA!K23)</f>
        <v/>
      </c>
    </row>
    <row r="67">
      <c r="A67" s="14">
        <f>IF(RECEPTURA_WLASNA!C24="","",RECEPTURA_WLASNA!A24)</f>
        <v/>
      </c>
      <c r="B67" s="14">
        <f>IF(RECEPTURA_WLASNA!C24="","",RECEPTURA_WLASNA!C24)</f>
        <v/>
      </c>
      <c r="C67" s="14">
        <f>IF(RECEPTURA_WLASNA!C24="","",RECEPTURA_WLASNA!B24)</f>
        <v/>
      </c>
      <c r="D67" s="30">
        <f>IF(RECEPTURA_WLASNA!C24="","",RECEPTURA_WLASNA!E24)</f>
        <v/>
      </c>
      <c r="E67" s="30">
        <f>IF(RECEPTURA_WLASNA!C24="","",RECEPTURA_WLASNA!F24)</f>
        <v/>
      </c>
      <c r="F67" s="30">
        <f>IF(RECEPTURA_WLASNA!C24="","",RECEPTURA_WLASNA!G24)</f>
        <v/>
      </c>
      <c r="G67" s="15">
        <f>IF(RECEPTURA_WLASNA!C24="","",RECEPTURA_WLASNA!H24)</f>
        <v/>
      </c>
      <c r="H67" s="14">
        <f>IF(RECEPTURA_WLASNA!C24="","",RECEPTURA_WLASNA!K24)</f>
        <v/>
      </c>
    </row>
    <row r="68">
      <c r="A68" s="14">
        <f>IF(RECEPTURA_WLASNA!C25="","",RECEPTURA_WLASNA!A25)</f>
        <v/>
      </c>
      <c r="B68" s="14">
        <f>IF(RECEPTURA_WLASNA!C25="","",RECEPTURA_WLASNA!C25)</f>
        <v/>
      </c>
      <c r="C68" s="14">
        <f>IF(RECEPTURA_WLASNA!C25="","",RECEPTURA_WLASNA!B25)</f>
        <v/>
      </c>
      <c r="D68" s="30">
        <f>IF(RECEPTURA_WLASNA!C25="","",RECEPTURA_WLASNA!E25)</f>
        <v/>
      </c>
      <c r="E68" s="30">
        <f>IF(RECEPTURA_WLASNA!C25="","",RECEPTURA_WLASNA!F25)</f>
        <v/>
      </c>
      <c r="F68" s="30">
        <f>IF(RECEPTURA_WLASNA!C25="","",RECEPTURA_WLASNA!G25)</f>
        <v/>
      </c>
      <c r="G68" s="15">
        <f>IF(RECEPTURA_WLASNA!C25="","",RECEPTURA_WLASNA!H25)</f>
        <v/>
      </c>
      <c r="H68" s="14">
        <f>IF(RECEPTURA_WLASNA!C25="","",RECEPTURA_WLASNA!K25)</f>
        <v/>
      </c>
    </row>
    <row r="69">
      <c r="A69" s="14">
        <f>IF(RECEPTURA_WLASNA!C26="","",RECEPTURA_WLASNA!A26)</f>
        <v/>
      </c>
      <c r="B69" s="14">
        <f>IF(RECEPTURA_WLASNA!C26="","",RECEPTURA_WLASNA!C26)</f>
        <v/>
      </c>
      <c r="C69" s="14">
        <f>IF(RECEPTURA_WLASNA!C26="","",RECEPTURA_WLASNA!B26)</f>
        <v/>
      </c>
      <c r="D69" s="30">
        <f>IF(RECEPTURA_WLASNA!C26="","",RECEPTURA_WLASNA!E26)</f>
        <v/>
      </c>
      <c r="E69" s="30">
        <f>IF(RECEPTURA_WLASNA!C26="","",RECEPTURA_WLASNA!F26)</f>
        <v/>
      </c>
      <c r="F69" s="30">
        <f>IF(RECEPTURA_WLASNA!C26="","",RECEPTURA_WLASNA!G26)</f>
        <v/>
      </c>
      <c r="G69" s="15">
        <f>IF(RECEPTURA_WLASNA!C26="","",RECEPTURA_WLASNA!H26)</f>
        <v/>
      </c>
      <c r="H69" s="14">
        <f>IF(RECEPTURA_WLASNA!C26="","",RECEPTURA_WLASNA!K26)</f>
        <v/>
      </c>
    </row>
    <row r="70">
      <c r="A70" s="14">
        <f>IF(RECEPTURA_WLASNA!C27="","",RECEPTURA_WLASNA!A27)</f>
        <v/>
      </c>
      <c r="B70" s="14">
        <f>IF(RECEPTURA_WLASNA!C27="","",RECEPTURA_WLASNA!C27)</f>
        <v/>
      </c>
      <c r="C70" s="14">
        <f>IF(RECEPTURA_WLASNA!C27="","",RECEPTURA_WLASNA!B27)</f>
        <v/>
      </c>
      <c r="D70" s="30">
        <f>IF(RECEPTURA_WLASNA!C27="","",RECEPTURA_WLASNA!E27)</f>
        <v/>
      </c>
      <c r="E70" s="30">
        <f>IF(RECEPTURA_WLASNA!C27="","",RECEPTURA_WLASNA!F27)</f>
        <v/>
      </c>
      <c r="F70" s="30">
        <f>IF(RECEPTURA_WLASNA!C27="","",RECEPTURA_WLASNA!G27)</f>
        <v/>
      </c>
      <c r="G70" s="15">
        <f>IF(RECEPTURA_WLASNA!C27="","",RECEPTURA_WLASNA!H27)</f>
        <v/>
      </c>
      <c r="H70" s="14">
        <f>IF(RECEPTURA_WLASNA!C27="","",RECEPTURA_WLASNA!K27)</f>
        <v/>
      </c>
    </row>
    <row r="71">
      <c r="A71" s="14">
        <f>IF(RECEPTURA_WLASNA!C28="","",RECEPTURA_WLASNA!A28)</f>
        <v/>
      </c>
      <c r="B71" s="14">
        <f>IF(RECEPTURA_WLASNA!C28="","",RECEPTURA_WLASNA!C28)</f>
        <v/>
      </c>
      <c r="C71" s="14">
        <f>IF(RECEPTURA_WLASNA!C28="","",RECEPTURA_WLASNA!B28)</f>
        <v/>
      </c>
      <c r="D71" s="30">
        <f>IF(RECEPTURA_WLASNA!C28="","",RECEPTURA_WLASNA!E28)</f>
        <v/>
      </c>
      <c r="E71" s="30">
        <f>IF(RECEPTURA_WLASNA!C28="","",RECEPTURA_WLASNA!F28)</f>
        <v/>
      </c>
      <c r="F71" s="30">
        <f>IF(RECEPTURA_WLASNA!C28="","",RECEPTURA_WLASNA!G28)</f>
        <v/>
      </c>
      <c r="G71" s="15">
        <f>IF(RECEPTURA_WLASNA!C28="","",RECEPTURA_WLASNA!H28)</f>
        <v/>
      </c>
      <c r="H71" s="14">
        <f>IF(RECEPTURA_WLASNA!C28="","",RECEPTURA_WLASNA!K28)</f>
        <v/>
      </c>
    </row>
    <row r="72">
      <c r="A72" s="14">
        <f>IF(RECEPTURA_WLASNA!C29="","",RECEPTURA_WLASNA!A29)</f>
        <v/>
      </c>
      <c r="B72" s="14">
        <f>IF(RECEPTURA_WLASNA!C29="","",RECEPTURA_WLASNA!C29)</f>
        <v/>
      </c>
      <c r="C72" s="14">
        <f>IF(RECEPTURA_WLASNA!C29="","",RECEPTURA_WLASNA!B29)</f>
        <v/>
      </c>
      <c r="D72" s="30">
        <f>IF(RECEPTURA_WLASNA!C29="","",RECEPTURA_WLASNA!E29)</f>
        <v/>
      </c>
      <c r="E72" s="30">
        <f>IF(RECEPTURA_WLASNA!C29="","",RECEPTURA_WLASNA!F29)</f>
        <v/>
      </c>
      <c r="F72" s="30">
        <f>IF(RECEPTURA_WLASNA!C29="","",RECEPTURA_WLASNA!G29)</f>
        <v/>
      </c>
      <c r="G72" s="15">
        <f>IF(RECEPTURA_WLASNA!C29="","",RECEPTURA_WLASNA!H29)</f>
        <v/>
      </c>
      <c r="H72" s="14">
        <f>IF(RECEPTURA_WLASNA!C29="","",RECEPTURA_WLASNA!K29)</f>
        <v/>
      </c>
    </row>
    <row r="73">
      <c r="A73" s="14">
        <f>IF(RECEPTURA_WLASNA!C30="","",RECEPTURA_WLASNA!A30)</f>
        <v/>
      </c>
      <c r="B73" s="14">
        <f>IF(RECEPTURA_WLASNA!C30="","",RECEPTURA_WLASNA!C30)</f>
        <v/>
      </c>
      <c r="C73" s="14">
        <f>IF(RECEPTURA_WLASNA!C30="","",RECEPTURA_WLASNA!B30)</f>
        <v/>
      </c>
      <c r="D73" s="30">
        <f>IF(RECEPTURA_WLASNA!C30="","",RECEPTURA_WLASNA!E30)</f>
        <v/>
      </c>
      <c r="E73" s="30">
        <f>IF(RECEPTURA_WLASNA!C30="","",RECEPTURA_WLASNA!F30)</f>
        <v/>
      </c>
      <c r="F73" s="30">
        <f>IF(RECEPTURA_WLASNA!C30="","",RECEPTURA_WLASNA!G30)</f>
        <v/>
      </c>
      <c r="G73" s="15">
        <f>IF(RECEPTURA_WLASNA!C30="","",RECEPTURA_WLASNA!H30)</f>
        <v/>
      </c>
      <c r="H73" s="14">
        <f>IF(RECEPTURA_WLASNA!C30="","",RECEPTURA_WLASNA!K30)</f>
        <v/>
      </c>
    </row>
    <row r="74">
      <c r="A74" s="14">
        <f>IF(RECEPTURA_WLASNA!C31="","",RECEPTURA_WLASNA!A31)</f>
        <v/>
      </c>
      <c r="B74" s="14">
        <f>IF(RECEPTURA_WLASNA!C31="","",RECEPTURA_WLASNA!C31)</f>
        <v/>
      </c>
      <c r="C74" s="14">
        <f>IF(RECEPTURA_WLASNA!C31="","",RECEPTURA_WLASNA!B31)</f>
        <v/>
      </c>
      <c r="D74" s="30">
        <f>IF(RECEPTURA_WLASNA!C31="","",RECEPTURA_WLASNA!E31)</f>
        <v/>
      </c>
      <c r="E74" s="30">
        <f>IF(RECEPTURA_WLASNA!C31="","",RECEPTURA_WLASNA!F31)</f>
        <v/>
      </c>
      <c r="F74" s="30">
        <f>IF(RECEPTURA_WLASNA!C31="","",RECEPTURA_WLASNA!G31)</f>
        <v/>
      </c>
      <c r="G74" s="15">
        <f>IF(RECEPTURA_WLASNA!C31="","",RECEPTURA_WLASNA!H31)</f>
        <v/>
      </c>
      <c r="H74" s="14">
        <f>IF(RECEPTURA_WLASNA!C31="","",RECEPTURA_WLASNA!K31)</f>
        <v/>
      </c>
    </row>
    <row r="75">
      <c r="A75" s="14">
        <f>IF(RECEPTURA_WLASNA!C32="","",RECEPTURA_WLASNA!A32)</f>
        <v/>
      </c>
      <c r="B75" s="14">
        <f>IF(RECEPTURA_WLASNA!C32="","",RECEPTURA_WLASNA!C32)</f>
        <v/>
      </c>
      <c r="C75" s="14">
        <f>IF(RECEPTURA_WLASNA!C32="","",RECEPTURA_WLASNA!B32)</f>
        <v/>
      </c>
      <c r="D75" s="30">
        <f>IF(RECEPTURA_WLASNA!C32="","",RECEPTURA_WLASNA!E32)</f>
        <v/>
      </c>
      <c r="E75" s="30">
        <f>IF(RECEPTURA_WLASNA!C32="","",RECEPTURA_WLASNA!F32)</f>
        <v/>
      </c>
      <c r="F75" s="30">
        <f>IF(RECEPTURA_WLASNA!C32="","",RECEPTURA_WLASNA!G32)</f>
        <v/>
      </c>
      <c r="G75" s="15">
        <f>IF(RECEPTURA_WLASNA!C32="","",RECEPTURA_WLASNA!H32)</f>
        <v/>
      </c>
      <c r="H75" s="14">
        <f>IF(RECEPTURA_WLASNA!C32="","",RECEPTURA_WLASNA!K32)</f>
        <v/>
      </c>
    </row>
    <row r="76">
      <c r="A76" s="14">
        <f>IF(RECEPTURA_WLASNA!C33="","",RECEPTURA_WLASNA!A33)</f>
        <v/>
      </c>
      <c r="B76" s="14">
        <f>IF(RECEPTURA_WLASNA!C33="","",RECEPTURA_WLASNA!C33)</f>
        <v/>
      </c>
      <c r="C76" s="14">
        <f>IF(RECEPTURA_WLASNA!C33="","",RECEPTURA_WLASNA!B33)</f>
        <v/>
      </c>
      <c r="D76" s="30">
        <f>IF(RECEPTURA_WLASNA!C33="","",RECEPTURA_WLASNA!E33)</f>
        <v/>
      </c>
      <c r="E76" s="30">
        <f>IF(RECEPTURA_WLASNA!C33="","",RECEPTURA_WLASNA!F33)</f>
        <v/>
      </c>
      <c r="F76" s="30">
        <f>IF(RECEPTURA_WLASNA!C33="","",RECEPTURA_WLASNA!G33)</f>
        <v/>
      </c>
      <c r="G76" s="15">
        <f>IF(RECEPTURA_WLASNA!C33="","",RECEPTURA_WLASNA!H33)</f>
        <v/>
      </c>
      <c r="H76" s="14">
        <f>IF(RECEPTURA_WLASNA!C33="","",RECEPTURA_WLASNA!K33)</f>
        <v/>
      </c>
    </row>
    <row r="77">
      <c r="A77" s="14">
        <f>IF(RECEPTURA_WLASNA!C34="","",RECEPTURA_WLASNA!A34)</f>
        <v/>
      </c>
      <c r="B77" s="14">
        <f>IF(RECEPTURA_WLASNA!C34="","",RECEPTURA_WLASNA!C34)</f>
        <v/>
      </c>
      <c r="C77" s="14">
        <f>IF(RECEPTURA_WLASNA!C34="","",RECEPTURA_WLASNA!B34)</f>
        <v/>
      </c>
      <c r="D77" s="30">
        <f>IF(RECEPTURA_WLASNA!C34="","",RECEPTURA_WLASNA!E34)</f>
        <v/>
      </c>
      <c r="E77" s="30">
        <f>IF(RECEPTURA_WLASNA!C34="","",RECEPTURA_WLASNA!F34)</f>
        <v/>
      </c>
      <c r="F77" s="30">
        <f>IF(RECEPTURA_WLASNA!C34="","",RECEPTURA_WLASNA!G34)</f>
        <v/>
      </c>
      <c r="G77" s="15">
        <f>IF(RECEPTURA_WLASNA!C34="","",RECEPTURA_WLASNA!H34)</f>
        <v/>
      </c>
      <c r="H77" s="14">
        <f>IF(RECEPTURA_WLASNA!C34="","",RECEPTURA_WLASNA!K34)</f>
        <v/>
      </c>
    </row>
    <row r="78">
      <c r="A78" s="14">
        <f>IF(RECEPTURA_WLASNA!C35="","",RECEPTURA_WLASNA!A35)</f>
        <v/>
      </c>
      <c r="B78" s="14">
        <f>IF(RECEPTURA_WLASNA!C35="","",RECEPTURA_WLASNA!C35)</f>
        <v/>
      </c>
      <c r="C78" s="14">
        <f>IF(RECEPTURA_WLASNA!C35="","",RECEPTURA_WLASNA!B35)</f>
        <v/>
      </c>
      <c r="D78" s="30">
        <f>IF(RECEPTURA_WLASNA!C35="","",RECEPTURA_WLASNA!E35)</f>
        <v/>
      </c>
      <c r="E78" s="30">
        <f>IF(RECEPTURA_WLASNA!C35="","",RECEPTURA_WLASNA!F35)</f>
        <v/>
      </c>
      <c r="F78" s="30">
        <f>IF(RECEPTURA_WLASNA!C35="","",RECEPTURA_WLASNA!G35)</f>
        <v/>
      </c>
      <c r="G78" s="15">
        <f>IF(RECEPTURA_WLASNA!C35="","",RECEPTURA_WLASNA!H35)</f>
        <v/>
      </c>
      <c r="H78" s="14">
        <f>IF(RECEPTURA_WLASNA!C35="","",RECEPTURA_WLASNA!K35)</f>
        <v/>
      </c>
    </row>
    <row r="79">
      <c r="A79" s="14">
        <f>IF(RECEPTURA_WLASNA!C36="","",RECEPTURA_WLASNA!A36)</f>
        <v/>
      </c>
      <c r="B79" s="14">
        <f>IF(RECEPTURA_WLASNA!C36="","",RECEPTURA_WLASNA!C36)</f>
        <v/>
      </c>
      <c r="C79" s="14">
        <f>IF(RECEPTURA_WLASNA!C36="","",RECEPTURA_WLASNA!B36)</f>
        <v/>
      </c>
      <c r="D79" s="30">
        <f>IF(RECEPTURA_WLASNA!C36="","",RECEPTURA_WLASNA!E36)</f>
        <v/>
      </c>
      <c r="E79" s="30">
        <f>IF(RECEPTURA_WLASNA!C36="","",RECEPTURA_WLASNA!F36)</f>
        <v/>
      </c>
      <c r="F79" s="30">
        <f>IF(RECEPTURA_WLASNA!C36="","",RECEPTURA_WLASNA!G36)</f>
        <v/>
      </c>
      <c r="G79" s="15">
        <f>IF(RECEPTURA_WLASNA!C36="","",RECEPTURA_WLASNA!H36)</f>
        <v/>
      </c>
      <c r="H79" s="14">
        <f>IF(RECEPTURA_WLASNA!C36="","",RECEPTURA_WLASNA!K36)</f>
        <v/>
      </c>
    </row>
    <row r="80">
      <c r="A80" s="14">
        <f>IF(RECEPTURA_WLASNA!C37="","",RECEPTURA_WLASNA!A37)</f>
        <v/>
      </c>
      <c r="B80" s="14">
        <f>IF(RECEPTURA_WLASNA!C37="","",RECEPTURA_WLASNA!C37)</f>
        <v/>
      </c>
      <c r="C80" s="14">
        <f>IF(RECEPTURA_WLASNA!C37="","",RECEPTURA_WLASNA!B37)</f>
        <v/>
      </c>
      <c r="D80" s="30">
        <f>IF(RECEPTURA_WLASNA!C37="","",RECEPTURA_WLASNA!E37)</f>
        <v/>
      </c>
      <c r="E80" s="30">
        <f>IF(RECEPTURA_WLASNA!C37="","",RECEPTURA_WLASNA!F37)</f>
        <v/>
      </c>
      <c r="F80" s="30">
        <f>IF(RECEPTURA_WLASNA!C37="","",RECEPTURA_WLASNA!G37)</f>
        <v/>
      </c>
      <c r="G80" s="15">
        <f>IF(RECEPTURA_WLASNA!C37="","",RECEPTURA_WLASNA!H37)</f>
        <v/>
      </c>
      <c r="H80" s="14">
        <f>IF(RECEPTURA_WLASNA!C37="","",RECEPTURA_WLASNA!K37)</f>
        <v/>
      </c>
    </row>
    <row r="81">
      <c r="A81" s="14">
        <f>IF(RECEPTURA_WLASNA!C38="","",RECEPTURA_WLASNA!A38)</f>
        <v/>
      </c>
      <c r="B81" s="14">
        <f>IF(RECEPTURA_WLASNA!C38="","",RECEPTURA_WLASNA!C38)</f>
        <v/>
      </c>
      <c r="C81" s="14">
        <f>IF(RECEPTURA_WLASNA!C38="","",RECEPTURA_WLASNA!B38)</f>
        <v/>
      </c>
      <c r="D81" s="30">
        <f>IF(RECEPTURA_WLASNA!C38="","",RECEPTURA_WLASNA!E38)</f>
        <v/>
      </c>
      <c r="E81" s="30">
        <f>IF(RECEPTURA_WLASNA!C38="","",RECEPTURA_WLASNA!F38)</f>
        <v/>
      </c>
      <c r="F81" s="30">
        <f>IF(RECEPTURA_WLASNA!C38="","",RECEPTURA_WLASNA!G38)</f>
        <v/>
      </c>
      <c r="G81" s="15">
        <f>IF(RECEPTURA_WLASNA!C38="","",RECEPTURA_WLASNA!H38)</f>
        <v/>
      </c>
      <c r="H81" s="14">
        <f>IF(RECEPTURA_WLASNA!C38="","",RECEPTURA_WLASNA!K38)</f>
        <v/>
      </c>
    </row>
    <row r="82">
      <c r="A82" s="14">
        <f>IF(RECEPTURA_WLASNA!C39="","",RECEPTURA_WLASNA!A39)</f>
        <v/>
      </c>
      <c r="B82" s="14">
        <f>IF(RECEPTURA_WLASNA!C39="","",RECEPTURA_WLASNA!C39)</f>
        <v/>
      </c>
      <c r="C82" s="14">
        <f>IF(RECEPTURA_WLASNA!C39="","",RECEPTURA_WLASNA!B39)</f>
        <v/>
      </c>
      <c r="D82" s="30">
        <f>IF(RECEPTURA_WLASNA!C39="","",RECEPTURA_WLASNA!E39)</f>
        <v/>
      </c>
      <c r="E82" s="30">
        <f>IF(RECEPTURA_WLASNA!C39="","",RECEPTURA_WLASNA!F39)</f>
        <v/>
      </c>
      <c r="F82" s="30">
        <f>IF(RECEPTURA_WLASNA!C39="","",RECEPTURA_WLASNA!G39)</f>
        <v/>
      </c>
      <c r="G82" s="15">
        <f>IF(RECEPTURA_WLASNA!C39="","",RECEPTURA_WLASNA!H39)</f>
        <v/>
      </c>
      <c r="H82" s="14">
        <f>IF(RECEPTURA_WLASNA!C39="","",RECEPTURA_WLASNA!K39)</f>
        <v/>
      </c>
    </row>
    <row r="83">
      <c r="A83" s="14">
        <f>IF(RECEPTURA_WLASNA!C40="","",RECEPTURA_WLASNA!A40)</f>
        <v/>
      </c>
      <c r="B83" s="14">
        <f>IF(RECEPTURA_WLASNA!C40="","",RECEPTURA_WLASNA!C40)</f>
        <v/>
      </c>
      <c r="C83" s="14">
        <f>IF(RECEPTURA_WLASNA!C40="","",RECEPTURA_WLASNA!B40)</f>
        <v/>
      </c>
      <c r="D83" s="30">
        <f>IF(RECEPTURA_WLASNA!C40="","",RECEPTURA_WLASNA!E40)</f>
        <v/>
      </c>
      <c r="E83" s="30">
        <f>IF(RECEPTURA_WLASNA!C40="","",RECEPTURA_WLASNA!F40)</f>
        <v/>
      </c>
      <c r="F83" s="30">
        <f>IF(RECEPTURA_WLASNA!C40="","",RECEPTURA_WLASNA!G40)</f>
        <v/>
      </c>
      <c r="G83" s="15">
        <f>IF(RECEPTURA_WLASNA!C40="","",RECEPTURA_WLASNA!H40)</f>
        <v/>
      </c>
      <c r="H83" s="14">
        <f>IF(RECEPTURA_WLASNA!C40="","",RECEPTURA_WLASNA!K40)</f>
        <v/>
      </c>
    </row>
    <row r="84">
      <c r="A84" s="14">
        <f>IF(RECEPTURA_WLASNA!C41="","",RECEPTURA_WLASNA!A41)</f>
        <v/>
      </c>
      <c r="B84" s="14">
        <f>IF(RECEPTURA_WLASNA!C41="","",RECEPTURA_WLASNA!C41)</f>
        <v/>
      </c>
      <c r="C84" s="14">
        <f>IF(RECEPTURA_WLASNA!C41="","",RECEPTURA_WLASNA!B41)</f>
        <v/>
      </c>
      <c r="D84" s="30">
        <f>IF(RECEPTURA_WLASNA!C41="","",RECEPTURA_WLASNA!E41)</f>
        <v/>
      </c>
      <c r="E84" s="30">
        <f>IF(RECEPTURA_WLASNA!C41="","",RECEPTURA_WLASNA!F41)</f>
        <v/>
      </c>
      <c r="F84" s="30">
        <f>IF(RECEPTURA_WLASNA!C41="","",RECEPTURA_WLASNA!G41)</f>
        <v/>
      </c>
      <c r="G84" s="15">
        <f>IF(RECEPTURA_WLASNA!C41="","",RECEPTURA_WLASNA!H41)</f>
        <v/>
      </c>
      <c r="H84" s="14">
        <f>IF(RECEPTURA_WLASNA!C41="","",RECEPTURA_WLASNA!K41)</f>
        <v/>
      </c>
    </row>
    <row r="85">
      <c r="A85" s="14">
        <f>IF(RECEPTURA_WLASNA!C42="","",RECEPTURA_WLASNA!A42)</f>
        <v/>
      </c>
      <c r="B85" s="14">
        <f>IF(RECEPTURA_WLASNA!C42="","",RECEPTURA_WLASNA!C42)</f>
        <v/>
      </c>
      <c r="C85" s="14">
        <f>IF(RECEPTURA_WLASNA!C42="","",RECEPTURA_WLASNA!B42)</f>
        <v/>
      </c>
      <c r="D85" s="30">
        <f>IF(RECEPTURA_WLASNA!C42="","",RECEPTURA_WLASNA!E42)</f>
        <v/>
      </c>
      <c r="E85" s="30">
        <f>IF(RECEPTURA_WLASNA!C42="","",RECEPTURA_WLASNA!F42)</f>
        <v/>
      </c>
      <c r="F85" s="30">
        <f>IF(RECEPTURA_WLASNA!C42="","",RECEPTURA_WLASNA!G42)</f>
        <v/>
      </c>
      <c r="G85" s="15">
        <f>IF(RECEPTURA_WLASNA!C42="","",RECEPTURA_WLASNA!H42)</f>
        <v/>
      </c>
      <c r="H85" s="14">
        <f>IF(RECEPTURA_WLASNA!C42="","",RECEPTURA_WLASNA!K42)</f>
        <v/>
      </c>
    </row>
    <row r="86">
      <c r="A86" s="14">
        <f>IF(RECEPTURA_WLASNA!C43="","",RECEPTURA_WLASNA!A43)</f>
        <v/>
      </c>
      <c r="B86" s="14">
        <f>IF(RECEPTURA_WLASNA!C43="","",RECEPTURA_WLASNA!C43)</f>
        <v/>
      </c>
      <c r="C86" s="14">
        <f>IF(RECEPTURA_WLASNA!C43="","",RECEPTURA_WLASNA!B43)</f>
        <v/>
      </c>
      <c r="D86" s="30">
        <f>IF(RECEPTURA_WLASNA!C43="","",RECEPTURA_WLASNA!E43)</f>
        <v/>
      </c>
      <c r="E86" s="30">
        <f>IF(RECEPTURA_WLASNA!C43="","",RECEPTURA_WLASNA!F43)</f>
        <v/>
      </c>
      <c r="F86" s="30">
        <f>IF(RECEPTURA_WLASNA!C43="","",RECEPTURA_WLASNA!G43)</f>
        <v/>
      </c>
      <c r="G86" s="15">
        <f>IF(RECEPTURA_WLASNA!C43="","",RECEPTURA_WLASNA!H43)</f>
        <v/>
      </c>
      <c r="H86" s="14">
        <f>IF(RECEPTURA_WLASNA!C43="","",RECEPTURA_WLASNA!K43)</f>
        <v/>
      </c>
    </row>
    <row r="87">
      <c r="A87" s="14">
        <f>IF(RECEPTURA_WLASNA!C44="","",RECEPTURA_WLASNA!A44)</f>
        <v/>
      </c>
      <c r="B87" s="14">
        <f>IF(RECEPTURA_WLASNA!C44="","",RECEPTURA_WLASNA!C44)</f>
        <v/>
      </c>
      <c r="C87" s="14">
        <f>IF(RECEPTURA_WLASNA!C44="","",RECEPTURA_WLASNA!B44)</f>
        <v/>
      </c>
      <c r="D87" s="30">
        <f>IF(RECEPTURA_WLASNA!C44="","",RECEPTURA_WLASNA!E44)</f>
        <v/>
      </c>
      <c r="E87" s="30">
        <f>IF(RECEPTURA_WLASNA!C44="","",RECEPTURA_WLASNA!F44)</f>
        <v/>
      </c>
      <c r="F87" s="30">
        <f>IF(RECEPTURA_WLASNA!C44="","",RECEPTURA_WLASNA!G44)</f>
        <v/>
      </c>
      <c r="G87" s="15">
        <f>IF(RECEPTURA_WLASNA!C44="","",RECEPTURA_WLASNA!H44)</f>
        <v/>
      </c>
      <c r="H87" s="14">
        <f>IF(RECEPTURA_WLASNA!C44="","",RECEPTURA_WLASNA!K44)</f>
        <v/>
      </c>
    </row>
    <row r="88">
      <c r="A88" s="14">
        <f>IF(RECEPTURA_WLASNA!C45="","",RECEPTURA_WLASNA!A45)</f>
        <v/>
      </c>
      <c r="B88" s="14">
        <f>IF(RECEPTURA_WLASNA!C45="","",RECEPTURA_WLASNA!C45)</f>
        <v/>
      </c>
      <c r="C88" s="14">
        <f>IF(RECEPTURA_WLASNA!C45="","",RECEPTURA_WLASNA!B45)</f>
        <v/>
      </c>
      <c r="D88" s="30">
        <f>IF(RECEPTURA_WLASNA!C45="","",RECEPTURA_WLASNA!E45)</f>
        <v/>
      </c>
      <c r="E88" s="30">
        <f>IF(RECEPTURA_WLASNA!C45="","",RECEPTURA_WLASNA!F45)</f>
        <v/>
      </c>
      <c r="F88" s="30">
        <f>IF(RECEPTURA_WLASNA!C45="","",RECEPTURA_WLASNA!G45)</f>
        <v/>
      </c>
      <c r="G88" s="15">
        <f>IF(RECEPTURA_WLASNA!C45="","",RECEPTURA_WLASNA!H45)</f>
        <v/>
      </c>
      <c r="H88" s="14">
        <f>IF(RECEPTURA_WLASNA!C45="","",RECEPTURA_WLASNA!K45)</f>
        <v/>
      </c>
    </row>
    <row r="89">
      <c r="A89" s="14">
        <f>IF(RECEPTURA_WLASNA!C46="","",RECEPTURA_WLASNA!A46)</f>
        <v/>
      </c>
      <c r="B89" s="14">
        <f>IF(RECEPTURA_WLASNA!C46="","",RECEPTURA_WLASNA!C46)</f>
        <v/>
      </c>
      <c r="C89" s="14">
        <f>IF(RECEPTURA_WLASNA!C46="","",RECEPTURA_WLASNA!B46)</f>
        <v/>
      </c>
      <c r="D89" s="30">
        <f>IF(RECEPTURA_WLASNA!C46="","",RECEPTURA_WLASNA!E46)</f>
        <v/>
      </c>
      <c r="E89" s="30">
        <f>IF(RECEPTURA_WLASNA!C46="","",RECEPTURA_WLASNA!F46)</f>
        <v/>
      </c>
      <c r="F89" s="30">
        <f>IF(RECEPTURA_WLASNA!C46="","",RECEPTURA_WLASNA!G46)</f>
        <v/>
      </c>
      <c r="G89" s="15">
        <f>IF(RECEPTURA_WLASNA!C46="","",RECEPTURA_WLASNA!H46)</f>
        <v/>
      </c>
      <c r="H89" s="14">
        <f>IF(RECEPTURA_WLASNA!C46="","",RECEPTURA_WLASNA!K46)</f>
        <v/>
      </c>
    </row>
    <row r="90">
      <c r="A90" s="14">
        <f>IF(RECEPTURA_WLASNA!C47="","",RECEPTURA_WLASNA!A47)</f>
        <v/>
      </c>
      <c r="B90" s="14">
        <f>IF(RECEPTURA_WLASNA!C47="","",RECEPTURA_WLASNA!C47)</f>
        <v/>
      </c>
      <c r="C90" s="14">
        <f>IF(RECEPTURA_WLASNA!C47="","",RECEPTURA_WLASNA!B47)</f>
        <v/>
      </c>
      <c r="D90" s="30">
        <f>IF(RECEPTURA_WLASNA!C47="","",RECEPTURA_WLASNA!E47)</f>
        <v/>
      </c>
      <c r="E90" s="30">
        <f>IF(RECEPTURA_WLASNA!C47="","",RECEPTURA_WLASNA!F47)</f>
        <v/>
      </c>
      <c r="F90" s="30">
        <f>IF(RECEPTURA_WLASNA!C47="","",RECEPTURA_WLASNA!G47)</f>
        <v/>
      </c>
      <c r="G90" s="15">
        <f>IF(RECEPTURA_WLASNA!C47="","",RECEPTURA_WLASNA!H47)</f>
        <v/>
      </c>
      <c r="H90" s="14">
        <f>IF(RECEPTURA_WLASNA!C47="","",RECEPTURA_WLASNA!K47)</f>
        <v/>
      </c>
    </row>
    <row r="91">
      <c r="A91" s="14">
        <f>IF(RECEPTURA_WLASNA!C48="","",RECEPTURA_WLASNA!A48)</f>
        <v/>
      </c>
      <c r="B91" s="14">
        <f>IF(RECEPTURA_WLASNA!C48="","",RECEPTURA_WLASNA!C48)</f>
        <v/>
      </c>
      <c r="C91" s="14">
        <f>IF(RECEPTURA_WLASNA!C48="","",RECEPTURA_WLASNA!B48)</f>
        <v/>
      </c>
      <c r="D91" s="30">
        <f>IF(RECEPTURA_WLASNA!C48="","",RECEPTURA_WLASNA!E48)</f>
        <v/>
      </c>
      <c r="E91" s="30">
        <f>IF(RECEPTURA_WLASNA!C48="","",RECEPTURA_WLASNA!F48)</f>
        <v/>
      </c>
      <c r="F91" s="30">
        <f>IF(RECEPTURA_WLASNA!C48="","",RECEPTURA_WLASNA!G48)</f>
        <v/>
      </c>
      <c r="G91" s="15">
        <f>IF(RECEPTURA_WLASNA!C48="","",RECEPTURA_WLASNA!H48)</f>
        <v/>
      </c>
      <c r="H91" s="14">
        <f>IF(RECEPTURA_WLASNA!C48="","",RECEPTURA_WLASNA!K48)</f>
        <v/>
      </c>
    </row>
    <row r="92">
      <c r="A92" s="14">
        <f>IF(RECEPTURA_WLASNA!C49="","",RECEPTURA_WLASNA!A49)</f>
        <v/>
      </c>
      <c r="B92" s="14">
        <f>IF(RECEPTURA_WLASNA!C49="","",RECEPTURA_WLASNA!C49)</f>
        <v/>
      </c>
      <c r="C92" s="14">
        <f>IF(RECEPTURA_WLASNA!C49="","",RECEPTURA_WLASNA!B49)</f>
        <v/>
      </c>
      <c r="D92" s="30">
        <f>IF(RECEPTURA_WLASNA!C49="","",RECEPTURA_WLASNA!E49)</f>
        <v/>
      </c>
      <c r="E92" s="30">
        <f>IF(RECEPTURA_WLASNA!C49="","",RECEPTURA_WLASNA!F49)</f>
        <v/>
      </c>
      <c r="F92" s="30">
        <f>IF(RECEPTURA_WLASNA!C49="","",RECEPTURA_WLASNA!G49)</f>
        <v/>
      </c>
      <c r="G92" s="15">
        <f>IF(RECEPTURA_WLASNA!C49="","",RECEPTURA_WLASNA!H49)</f>
        <v/>
      </c>
      <c r="H92" s="14">
        <f>IF(RECEPTURA_WLASNA!C49="","",RECEPTURA_WLASNA!K49)</f>
        <v/>
      </c>
    </row>
    <row r="93">
      <c r="A93" s="14">
        <f>IF(RECEPTURA_WLASNA!C50="","",RECEPTURA_WLASNA!A50)</f>
        <v/>
      </c>
      <c r="B93" s="14">
        <f>IF(RECEPTURA_WLASNA!C50="","",RECEPTURA_WLASNA!C50)</f>
        <v/>
      </c>
      <c r="C93" s="14">
        <f>IF(RECEPTURA_WLASNA!C50="","",RECEPTURA_WLASNA!B50)</f>
        <v/>
      </c>
      <c r="D93" s="30">
        <f>IF(RECEPTURA_WLASNA!C50="","",RECEPTURA_WLASNA!E50)</f>
        <v/>
      </c>
      <c r="E93" s="30">
        <f>IF(RECEPTURA_WLASNA!C50="","",RECEPTURA_WLASNA!F50)</f>
        <v/>
      </c>
      <c r="F93" s="30">
        <f>IF(RECEPTURA_WLASNA!C50="","",RECEPTURA_WLASNA!G50)</f>
        <v/>
      </c>
      <c r="G93" s="15">
        <f>IF(RECEPTURA_WLASNA!C50="","",RECEPTURA_WLASNA!H50)</f>
        <v/>
      </c>
      <c r="H93" s="14">
        <f>IF(RECEPTURA_WLASNA!C50="","",RECEPTURA_WLASNA!K50)</f>
        <v/>
      </c>
    </row>
    <row r="94">
      <c r="A94" s="14">
        <f>IF(RECEPTURA_WLASNA!C51="","",RECEPTURA_WLASNA!A51)</f>
        <v/>
      </c>
      <c r="B94" s="14">
        <f>IF(RECEPTURA_WLASNA!C51="","",RECEPTURA_WLASNA!C51)</f>
        <v/>
      </c>
      <c r="C94" s="14">
        <f>IF(RECEPTURA_WLASNA!C51="","",RECEPTURA_WLASNA!B51)</f>
        <v/>
      </c>
      <c r="D94" s="30">
        <f>IF(RECEPTURA_WLASNA!C51="","",RECEPTURA_WLASNA!E51)</f>
        <v/>
      </c>
      <c r="E94" s="30">
        <f>IF(RECEPTURA_WLASNA!C51="","",RECEPTURA_WLASNA!F51)</f>
        <v/>
      </c>
      <c r="F94" s="30">
        <f>IF(RECEPTURA_WLASNA!C51="","",RECEPTURA_WLASNA!G51)</f>
        <v/>
      </c>
      <c r="G94" s="15">
        <f>IF(RECEPTURA_WLASNA!C51="","",RECEPTURA_WLASNA!H51)</f>
        <v/>
      </c>
      <c r="H94" s="14">
        <f>IF(RECEPTURA_WLASNA!C51="","",RECEPTURA_WLASNA!K51)</f>
        <v/>
      </c>
    </row>
    <row r="96">
      <c r="A96" s="5" t="inlineStr">
        <is>
          <t>PODSUMOWANIE</t>
        </is>
      </c>
    </row>
    <row r="97">
      <c r="A97" s="34" t="inlineStr">
        <is>
          <t>Masa całkowita oryg. (g)</t>
        </is>
      </c>
      <c r="B97" s="11">
        <f>MasaOryg</f>
        <v/>
      </c>
      <c r="C97" s="13" t="n"/>
    </row>
    <row r="98">
      <c r="A98" s="34" t="inlineStr">
        <is>
          <t>Masa całkowita własna (g)</t>
        </is>
      </c>
      <c r="B98" s="11">
        <f>MasaWlasna</f>
        <v/>
      </c>
      <c r="C98" s="13" t="n"/>
    </row>
    <row r="99">
      <c r="A99" s="34" t="inlineStr">
        <is>
          <t>Liczba pigmentów</t>
        </is>
      </c>
      <c r="B99" s="14">
        <f>COUNTIF(RECEPTURA_WLASNA!C12:C51,"&lt;&gt;")</f>
        <v/>
      </c>
      <c r="C99" s="13" t="n"/>
    </row>
    <row r="100">
      <c r="A100" s="34" t="inlineStr">
        <is>
          <t>Dodane</t>
        </is>
      </c>
      <c r="B100" s="14">
        <f>COUNTIF(RECEPTURA_WLASNA!K12:K51,"DODANO")</f>
        <v/>
      </c>
      <c r="C100" s="13" t="n"/>
    </row>
    <row r="101">
      <c r="A101" s="34" t="inlineStr">
        <is>
          <t>Usunięte</t>
        </is>
      </c>
      <c r="B101" s="14">
        <f>COUNTIF(RECEPTURA_WLASNA!K12:K51,"USUNIĘTO")</f>
        <v/>
      </c>
      <c r="C101" s="13" t="n"/>
    </row>
    <row r="102">
      <c r="A102" s="34" t="inlineStr">
        <is>
          <t>Zwiększone</t>
        </is>
      </c>
      <c r="B102" s="14">
        <f>COUNTIF(RECEPTURA_WLASNA!K12:K51,"ZWIĘKSZONO")</f>
        <v/>
      </c>
      <c r="C102" s="13" t="n"/>
    </row>
    <row r="103">
      <c r="A103" s="34" t="inlineStr">
        <is>
          <t>Zmniejszone</t>
        </is>
      </c>
      <c r="B103" s="14">
        <f>COUNTIF(RECEPTURA_WLASNA!K12:K51,"ZMNIEJSZONO")</f>
        <v/>
      </c>
      <c r="C103" s="13" t="n"/>
    </row>
    <row r="104">
      <c r="A104" s="34" t="inlineStr">
        <is>
          <t>Status udziałów</t>
        </is>
      </c>
      <c r="B104" s="14">
        <f>StatusUdzialow</f>
        <v/>
      </c>
      <c r="C104" s="13" t="n"/>
    </row>
  </sheetData>
  <mergeCells count="15">
    <mergeCell ref="B97:C97"/>
    <mergeCell ref="A4:H4"/>
    <mergeCell ref="B8:H8"/>
    <mergeCell ref="B100:C100"/>
    <mergeCell ref="A53:H53"/>
    <mergeCell ref="B104:C104"/>
    <mergeCell ref="A96:H96"/>
    <mergeCell ref="A2:H2"/>
    <mergeCell ref="B98:C98"/>
    <mergeCell ref="B103:C103"/>
    <mergeCell ref="A10:H10"/>
    <mergeCell ref="B99:C99"/>
    <mergeCell ref="B101:C101"/>
    <mergeCell ref="A1:H1"/>
    <mergeCell ref="B102:C102"/>
  </mergeCells>
  <pageMargins left="0.5" right="0.5" top="0.6" bottom="0.6" header="0.5" footer="0.5"/>
  <pageSetup orientation="landscape" paperSize="9" fitToHeight="1" fitToWidth="1"/>
  <headerFooter>
    <oddHeader/>
    <oddFooter>&amp;LRECEPTURY LAKIERÓW  |  AUTOCOLOR / DUXONE&amp;RStrona &amp;P /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208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8" customWidth="1" min="3" max="3"/>
    <col width="16" customWidth="1" min="4" max="4"/>
    <col width="10" customWidth="1" min="5" max="5"/>
    <col width="16" customWidth="1" min="6" max="6"/>
    <col width="16" customWidth="1" min="7" max="7"/>
    <col width="14" customWidth="1" min="8" max="8"/>
    <col width="16" customWidth="1" min="9" max="9"/>
    <col width="36" customWidth="1" min="10" max="10"/>
    <col width="28" customWidth="1" min="11" max="11"/>
    <col width="22" customWidth="1" min="12" max="12"/>
  </cols>
  <sheetData>
    <row r="1" ht="28" customHeight="1">
      <c r="A1" s="1" t="inlineStr">
        <is>
          <t>HISTORIA RECEPTUR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</row>
    <row r="2" ht="18" customHeight="1">
      <c r="A2" s="3" t="inlineStr">
        <is>
          <t>Każda wersja to nowy wiersz. Nie nadpisuj poprzednich. Makro ZapiszWersje dopisuje rekord i pozycje.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</row>
    <row r="8">
      <c r="A8" s="26" t="inlineStr">
        <is>
          <t>ID</t>
        </is>
      </c>
      <c r="B8" s="26" t="inlineStr">
        <is>
          <t>DATA</t>
        </is>
      </c>
      <c r="C8" s="26" t="inlineStr">
        <is>
          <t>NAZWA RECEPTURY</t>
        </is>
      </c>
      <c r="D8" s="26" t="inlineStr">
        <is>
          <t>SYSTEM BAZOWY</t>
        </is>
      </c>
      <c r="E8" s="26" t="inlineStr">
        <is>
          <t>WERSJA</t>
        </is>
      </c>
      <c r="F8" s="26" t="inlineStr">
        <is>
          <t>AUTOR</t>
        </is>
      </c>
      <c r="G8" s="26" t="inlineStr">
        <is>
          <t>MASA WŁASNA (g)</t>
        </is>
      </c>
      <c r="H8" s="26" t="inlineStr">
        <is>
          <t>KOD KOLORU</t>
        </is>
      </c>
      <c r="I8" s="26" t="inlineStr">
        <is>
          <t>LICZBA PIGMENTÓW</t>
        </is>
      </c>
      <c r="J8" s="26" t="inlineStr">
        <is>
          <t>UWAGI</t>
        </is>
      </c>
      <c r="K8" s="26" t="inlineStr">
        <is>
          <t>STATUS %</t>
        </is>
      </c>
      <c r="L8" s="26" t="inlineStr">
        <is>
          <t>ZAPISANO</t>
        </is>
      </c>
    </row>
    <row r="9">
      <c r="A9" s="35" t="inlineStr">
        <is>
          <t>RC-0001</t>
        </is>
      </c>
      <c r="B9" s="36">
        <f>TODAY()</f>
        <v/>
      </c>
      <c r="C9" s="35">
        <f>Meta_Nazwa</f>
        <v/>
      </c>
      <c r="D9" s="35">
        <f>Meta_System</f>
        <v/>
      </c>
      <c r="E9" s="35" t="n">
        <v>1</v>
      </c>
      <c r="F9" s="35">
        <f>Meta_Autor</f>
        <v/>
      </c>
      <c r="G9" s="37">
        <f>MasaWlasna</f>
        <v/>
      </c>
      <c r="H9" s="35">
        <f>Meta_Kod</f>
        <v/>
      </c>
      <c r="I9" s="35">
        <f>COUNTIF(RECEPTURA_WLASNA!C12:C51,"&lt;&gt;")</f>
        <v/>
      </c>
      <c r="J9" s="35" t="inlineStr">
        <is>
          <t>Wersja startowa systemu</t>
        </is>
      </c>
      <c r="K9" s="35">
        <f>StatusUdzialow</f>
        <v/>
      </c>
      <c r="L9" s="35" t="inlineStr">
        <is>
          <t>SZKIC — zapisz makro ZapiszWersje</t>
        </is>
      </c>
    </row>
    <row r="10">
      <c r="A10" s="8" t="inlineStr"/>
      <c r="B10" s="17" t="inlineStr"/>
      <c r="C10" s="8" t="inlineStr"/>
      <c r="D10" s="8" t="inlineStr"/>
      <c r="E10" s="8" t="inlineStr"/>
      <c r="F10" s="8" t="inlineStr"/>
      <c r="G10" s="18" t="inlineStr"/>
      <c r="H10" s="8" t="inlineStr"/>
      <c r="I10" s="8" t="inlineStr"/>
      <c r="J10" s="8" t="inlineStr"/>
      <c r="K10" s="8" t="inlineStr"/>
      <c r="L10" s="8" t="inlineStr"/>
    </row>
    <row r="11">
      <c r="A11" s="8" t="inlineStr"/>
      <c r="B11" s="17" t="inlineStr"/>
      <c r="C11" s="8" t="inlineStr"/>
      <c r="D11" s="8" t="inlineStr"/>
      <c r="E11" s="8" t="inlineStr"/>
      <c r="F11" s="8" t="inlineStr"/>
      <c r="G11" s="18" t="inlineStr"/>
      <c r="H11" s="8" t="inlineStr"/>
      <c r="I11" s="8" t="inlineStr"/>
      <c r="J11" s="8" t="inlineStr"/>
      <c r="K11" s="8" t="inlineStr"/>
      <c r="L11" s="8" t="inlineStr"/>
    </row>
    <row r="12">
      <c r="A12" s="8" t="inlineStr"/>
      <c r="B12" s="17" t="inlineStr"/>
      <c r="C12" s="8" t="inlineStr"/>
      <c r="D12" s="8" t="inlineStr"/>
      <c r="E12" s="8" t="inlineStr"/>
      <c r="F12" s="8" t="inlineStr"/>
      <c r="G12" s="18" t="inlineStr"/>
      <c r="H12" s="8" t="inlineStr"/>
      <c r="I12" s="8" t="inlineStr"/>
      <c r="J12" s="8" t="inlineStr"/>
      <c r="K12" s="8" t="inlineStr"/>
      <c r="L12" s="8" t="inlineStr"/>
    </row>
    <row r="13">
      <c r="A13" s="8" t="inlineStr"/>
      <c r="B13" s="17" t="inlineStr"/>
      <c r="C13" s="8" t="inlineStr"/>
      <c r="D13" s="8" t="inlineStr"/>
      <c r="E13" s="8" t="inlineStr"/>
      <c r="F13" s="8" t="inlineStr"/>
      <c r="G13" s="18" t="inlineStr"/>
      <c r="H13" s="8" t="inlineStr"/>
      <c r="I13" s="8" t="inlineStr"/>
      <c r="J13" s="8" t="inlineStr"/>
      <c r="K13" s="8" t="inlineStr"/>
      <c r="L13" s="8" t="inlineStr"/>
    </row>
    <row r="14">
      <c r="A14" s="8" t="inlineStr"/>
      <c r="B14" s="17" t="inlineStr"/>
      <c r="C14" s="8" t="inlineStr"/>
      <c r="D14" s="8" t="inlineStr"/>
      <c r="E14" s="8" t="inlineStr"/>
      <c r="F14" s="8" t="inlineStr"/>
      <c r="G14" s="18" t="inlineStr"/>
      <c r="H14" s="8" t="inlineStr"/>
      <c r="I14" s="8" t="inlineStr"/>
      <c r="J14" s="8" t="inlineStr"/>
      <c r="K14" s="8" t="inlineStr"/>
      <c r="L14" s="8" t="inlineStr"/>
    </row>
    <row r="15">
      <c r="A15" s="8" t="inlineStr"/>
      <c r="B15" s="17" t="inlineStr"/>
      <c r="C15" s="8" t="inlineStr"/>
      <c r="D15" s="8" t="inlineStr"/>
      <c r="E15" s="8" t="inlineStr"/>
      <c r="F15" s="8" t="inlineStr"/>
      <c r="G15" s="18" t="inlineStr"/>
      <c r="H15" s="8" t="inlineStr"/>
      <c r="I15" s="8" t="inlineStr"/>
      <c r="J15" s="8" t="inlineStr"/>
      <c r="K15" s="8" t="inlineStr"/>
      <c r="L15" s="8" t="inlineStr"/>
    </row>
    <row r="16">
      <c r="A16" s="8" t="inlineStr"/>
      <c r="B16" s="17" t="inlineStr"/>
      <c r="C16" s="8" t="inlineStr"/>
      <c r="D16" s="8" t="inlineStr"/>
      <c r="E16" s="8" t="inlineStr"/>
      <c r="F16" s="8" t="inlineStr"/>
      <c r="G16" s="18" t="inlineStr"/>
      <c r="H16" s="8" t="inlineStr"/>
      <c r="I16" s="8" t="inlineStr"/>
      <c r="J16" s="8" t="inlineStr"/>
      <c r="K16" s="8" t="inlineStr"/>
      <c r="L16" s="8" t="inlineStr"/>
    </row>
    <row r="17">
      <c r="A17" s="8" t="inlineStr"/>
      <c r="B17" s="17" t="inlineStr"/>
      <c r="C17" s="8" t="inlineStr"/>
      <c r="D17" s="8" t="inlineStr"/>
      <c r="E17" s="8" t="inlineStr"/>
      <c r="F17" s="8" t="inlineStr"/>
      <c r="G17" s="18" t="inlineStr"/>
      <c r="H17" s="8" t="inlineStr"/>
      <c r="I17" s="8" t="inlineStr"/>
      <c r="J17" s="8" t="inlineStr"/>
      <c r="K17" s="8" t="inlineStr"/>
      <c r="L17" s="8" t="inlineStr"/>
    </row>
    <row r="18">
      <c r="A18" s="8" t="inlineStr"/>
      <c r="B18" s="17" t="inlineStr"/>
      <c r="C18" s="8" t="inlineStr"/>
      <c r="D18" s="8" t="inlineStr"/>
      <c r="E18" s="8" t="inlineStr"/>
      <c r="F18" s="8" t="inlineStr"/>
      <c r="G18" s="18" t="inlineStr"/>
      <c r="H18" s="8" t="inlineStr"/>
      <c r="I18" s="8" t="inlineStr"/>
      <c r="J18" s="8" t="inlineStr"/>
      <c r="K18" s="8" t="inlineStr"/>
      <c r="L18" s="8" t="inlineStr"/>
    </row>
    <row r="19">
      <c r="A19" s="8" t="inlineStr"/>
      <c r="B19" s="17" t="inlineStr"/>
      <c r="C19" s="8" t="inlineStr"/>
      <c r="D19" s="8" t="inlineStr"/>
      <c r="E19" s="8" t="inlineStr"/>
      <c r="F19" s="8" t="inlineStr"/>
      <c r="G19" s="18" t="inlineStr"/>
      <c r="H19" s="8" t="inlineStr"/>
      <c r="I19" s="8" t="inlineStr"/>
      <c r="J19" s="8" t="inlineStr"/>
      <c r="K19" s="8" t="inlineStr"/>
      <c r="L19" s="8" t="inlineStr"/>
    </row>
    <row r="20">
      <c r="A20" s="8" t="inlineStr"/>
      <c r="B20" s="17" t="inlineStr"/>
      <c r="C20" s="8" t="inlineStr"/>
      <c r="D20" s="8" t="inlineStr"/>
      <c r="E20" s="8" t="inlineStr"/>
      <c r="F20" s="8" t="inlineStr"/>
      <c r="G20" s="18" t="inlineStr"/>
      <c r="H20" s="8" t="inlineStr"/>
      <c r="I20" s="8" t="inlineStr"/>
      <c r="J20" s="8" t="inlineStr"/>
      <c r="K20" s="8" t="inlineStr"/>
      <c r="L20" s="8" t="inlineStr"/>
    </row>
    <row r="21">
      <c r="A21" s="8" t="inlineStr"/>
      <c r="B21" s="17" t="inlineStr"/>
      <c r="C21" s="8" t="inlineStr"/>
      <c r="D21" s="8" t="inlineStr"/>
      <c r="E21" s="8" t="inlineStr"/>
      <c r="F21" s="8" t="inlineStr"/>
      <c r="G21" s="18" t="inlineStr"/>
      <c r="H21" s="8" t="inlineStr"/>
      <c r="I21" s="8" t="inlineStr"/>
      <c r="J21" s="8" t="inlineStr"/>
      <c r="K21" s="8" t="inlineStr"/>
      <c r="L21" s="8" t="inlineStr"/>
    </row>
    <row r="22">
      <c r="A22" s="8" t="inlineStr"/>
      <c r="B22" s="17" t="inlineStr"/>
      <c r="C22" s="8" t="inlineStr"/>
      <c r="D22" s="8" t="inlineStr"/>
      <c r="E22" s="8" t="inlineStr"/>
      <c r="F22" s="8" t="inlineStr"/>
      <c r="G22" s="18" t="inlineStr"/>
      <c r="H22" s="8" t="inlineStr"/>
      <c r="I22" s="8" t="inlineStr"/>
      <c r="J22" s="8" t="inlineStr"/>
      <c r="K22" s="8" t="inlineStr"/>
      <c r="L22" s="8" t="inlineStr"/>
    </row>
    <row r="23">
      <c r="A23" s="8" t="inlineStr"/>
      <c r="B23" s="17" t="inlineStr"/>
      <c r="C23" s="8" t="inlineStr"/>
      <c r="D23" s="8" t="inlineStr"/>
      <c r="E23" s="8" t="inlineStr"/>
      <c r="F23" s="8" t="inlineStr"/>
      <c r="G23" s="18" t="inlineStr"/>
      <c r="H23" s="8" t="inlineStr"/>
      <c r="I23" s="8" t="inlineStr"/>
      <c r="J23" s="8" t="inlineStr"/>
      <c r="K23" s="8" t="inlineStr"/>
      <c r="L23" s="8" t="inlineStr"/>
    </row>
    <row r="24">
      <c r="A24" s="8" t="inlineStr"/>
      <c r="B24" s="17" t="inlineStr"/>
      <c r="C24" s="8" t="inlineStr"/>
      <c r="D24" s="8" t="inlineStr"/>
      <c r="E24" s="8" t="inlineStr"/>
      <c r="F24" s="8" t="inlineStr"/>
      <c r="G24" s="18" t="inlineStr"/>
      <c r="H24" s="8" t="inlineStr"/>
      <c r="I24" s="8" t="inlineStr"/>
      <c r="J24" s="8" t="inlineStr"/>
      <c r="K24" s="8" t="inlineStr"/>
      <c r="L24" s="8" t="inlineStr"/>
    </row>
    <row r="25">
      <c r="A25" s="8" t="inlineStr"/>
      <c r="B25" s="17" t="inlineStr"/>
      <c r="C25" s="8" t="inlineStr"/>
      <c r="D25" s="8" t="inlineStr"/>
      <c r="E25" s="8" t="inlineStr"/>
      <c r="F25" s="8" t="inlineStr"/>
      <c r="G25" s="18" t="inlineStr"/>
      <c r="H25" s="8" t="inlineStr"/>
      <c r="I25" s="8" t="inlineStr"/>
      <c r="J25" s="8" t="inlineStr"/>
      <c r="K25" s="8" t="inlineStr"/>
      <c r="L25" s="8" t="inlineStr"/>
    </row>
    <row r="26">
      <c r="A26" s="8" t="inlineStr"/>
      <c r="B26" s="17" t="inlineStr"/>
      <c r="C26" s="8" t="inlineStr"/>
      <c r="D26" s="8" t="inlineStr"/>
      <c r="E26" s="8" t="inlineStr"/>
      <c r="F26" s="8" t="inlineStr"/>
      <c r="G26" s="18" t="inlineStr"/>
      <c r="H26" s="8" t="inlineStr"/>
      <c r="I26" s="8" t="inlineStr"/>
      <c r="J26" s="8" t="inlineStr"/>
      <c r="K26" s="8" t="inlineStr"/>
      <c r="L26" s="8" t="inlineStr"/>
    </row>
    <row r="27">
      <c r="A27" s="8" t="inlineStr"/>
      <c r="B27" s="17" t="inlineStr"/>
      <c r="C27" s="8" t="inlineStr"/>
      <c r="D27" s="8" t="inlineStr"/>
      <c r="E27" s="8" t="inlineStr"/>
      <c r="F27" s="8" t="inlineStr"/>
      <c r="G27" s="18" t="inlineStr"/>
      <c r="H27" s="8" t="inlineStr"/>
      <c r="I27" s="8" t="inlineStr"/>
      <c r="J27" s="8" t="inlineStr"/>
      <c r="K27" s="8" t="inlineStr"/>
      <c r="L27" s="8" t="inlineStr"/>
    </row>
    <row r="28">
      <c r="A28" s="8" t="inlineStr"/>
      <c r="B28" s="17" t="inlineStr"/>
      <c r="C28" s="8" t="inlineStr"/>
      <c r="D28" s="8" t="inlineStr"/>
      <c r="E28" s="8" t="inlineStr"/>
      <c r="F28" s="8" t="inlineStr"/>
      <c r="G28" s="18" t="inlineStr"/>
      <c r="H28" s="8" t="inlineStr"/>
      <c r="I28" s="8" t="inlineStr"/>
      <c r="J28" s="8" t="inlineStr"/>
      <c r="K28" s="8" t="inlineStr"/>
      <c r="L28" s="8" t="inlineStr"/>
    </row>
    <row r="29">
      <c r="A29" s="8" t="inlineStr"/>
      <c r="B29" s="17" t="inlineStr"/>
      <c r="C29" s="8" t="inlineStr"/>
      <c r="D29" s="8" t="inlineStr"/>
      <c r="E29" s="8" t="inlineStr"/>
      <c r="F29" s="8" t="inlineStr"/>
      <c r="G29" s="18" t="inlineStr"/>
      <c r="H29" s="8" t="inlineStr"/>
      <c r="I29" s="8" t="inlineStr"/>
      <c r="J29" s="8" t="inlineStr"/>
      <c r="K29" s="8" t="inlineStr"/>
      <c r="L29" s="8" t="inlineStr"/>
    </row>
    <row r="30">
      <c r="A30" s="8" t="inlineStr"/>
      <c r="B30" s="17" t="inlineStr"/>
      <c r="C30" s="8" t="inlineStr"/>
      <c r="D30" s="8" t="inlineStr"/>
      <c r="E30" s="8" t="inlineStr"/>
      <c r="F30" s="8" t="inlineStr"/>
      <c r="G30" s="18" t="inlineStr"/>
      <c r="H30" s="8" t="inlineStr"/>
      <c r="I30" s="8" t="inlineStr"/>
      <c r="J30" s="8" t="inlineStr"/>
      <c r="K30" s="8" t="inlineStr"/>
      <c r="L30" s="8" t="inlineStr"/>
    </row>
    <row r="31">
      <c r="A31" s="8" t="inlineStr"/>
      <c r="B31" s="17" t="inlineStr"/>
      <c r="C31" s="8" t="inlineStr"/>
      <c r="D31" s="8" t="inlineStr"/>
      <c r="E31" s="8" t="inlineStr"/>
      <c r="F31" s="8" t="inlineStr"/>
      <c r="G31" s="18" t="inlineStr"/>
      <c r="H31" s="8" t="inlineStr"/>
      <c r="I31" s="8" t="inlineStr"/>
      <c r="J31" s="8" t="inlineStr"/>
      <c r="K31" s="8" t="inlineStr"/>
      <c r="L31" s="8" t="inlineStr"/>
    </row>
    <row r="32">
      <c r="A32" s="8" t="inlineStr"/>
      <c r="B32" s="17" t="inlineStr"/>
      <c r="C32" s="8" t="inlineStr"/>
      <c r="D32" s="8" t="inlineStr"/>
      <c r="E32" s="8" t="inlineStr"/>
      <c r="F32" s="8" t="inlineStr"/>
      <c r="G32" s="18" t="inlineStr"/>
      <c r="H32" s="8" t="inlineStr"/>
      <c r="I32" s="8" t="inlineStr"/>
      <c r="J32" s="8" t="inlineStr"/>
      <c r="K32" s="8" t="inlineStr"/>
      <c r="L32" s="8" t="inlineStr"/>
    </row>
    <row r="33">
      <c r="A33" s="8" t="inlineStr"/>
      <c r="B33" s="17" t="inlineStr"/>
      <c r="C33" s="8" t="inlineStr"/>
      <c r="D33" s="8" t="inlineStr"/>
      <c r="E33" s="8" t="inlineStr"/>
      <c r="F33" s="8" t="inlineStr"/>
      <c r="G33" s="18" t="inlineStr"/>
      <c r="H33" s="8" t="inlineStr"/>
      <c r="I33" s="8" t="inlineStr"/>
      <c r="J33" s="8" t="inlineStr"/>
      <c r="K33" s="8" t="inlineStr"/>
      <c r="L33" s="8" t="inlineStr"/>
    </row>
    <row r="34">
      <c r="A34" s="8" t="inlineStr"/>
      <c r="B34" s="17" t="inlineStr"/>
      <c r="C34" s="8" t="inlineStr"/>
      <c r="D34" s="8" t="inlineStr"/>
      <c r="E34" s="8" t="inlineStr"/>
      <c r="F34" s="8" t="inlineStr"/>
      <c r="G34" s="18" t="inlineStr"/>
      <c r="H34" s="8" t="inlineStr"/>
      <c r="I34" s="8" t="inlineStr"/>
      <c r="J34" s="8" t="inlineStr"/>
      <c r="K34" s="8" t="inlineStr"/>
      <c r="L34" s="8" t="inlineStr"/>
    </row>
    <row r="35">
      <c r="A35" s="8" t="inlineStr"/>
      <c r="B35" s="17" t="inlineStr"/>
      <c r="C35" s="8" t="inlineStr"/>
      <c r="D35" s="8" t="inlineStr"/>
      <c r="E35" s="8" t="inlineStr"/>
      <c r="F35" s="8" t="inlineStr"/>
      <c r="G35" s="18" t="inlineStr"/>
      <c r="H35" s="8" t="inlineStr"/>
      <c r="I35" s="8" t="inlineStr"/>
      <c r="J35" s="8" t="inlineStr"/>
      <c r="K35" s="8" t="inlineStr"/>
      <c r="L35" s="8" t="inlineStr"/>
    </row>
    <row r="36">
      <c r="A36" s="8" t="inlineStr"/>
      <c r="B36" s="17" t="inlineStr"/>
      <c r="C36" s="8" t="inlineStr"/>
      <c r="D36" s="8" t="inlineStr"/>
      <c r="E36" s="8" t="inlineStr"/>
      <c r="F36" s="8" t="inlineStr"/>
      <c r="G36" s="18" t="inlineStr"/>
      <c r="H36" s="8" t="inlineStr"/>
      <c r="I36" s="8" t="inlineStr"/>
      <c r="J36" s="8" t="inlineStr"/>
      <c r="K36" s="8" t="inlineStr"/>
      <c r="L36" s="8" t="inlineStr"/>
    </row>
    <row r="37">
      <c r="A37" s="8" t="inlineStr"/>
      <c r="B37" s="17" t="inlineStr"/>
      <c r="C37" s="8" t="inlineStr"/>
      <c r="D37" s="8" t="inlineStr"/>
      <c r="E37" s="8" t="inlineStr"/>
      <c r="F37" s="8" t="inlineStr"/>
      <c r="G37" s="18" t="inlineStr"/>
      <c r="H37" s="8" t="inlineStr"/>
      <c r="I37" s="8" t="inlineStr"/>
      <c r="J37" s="8" t="inlineStr"/>
      <c r="K37" s="8" t="inlineStr"/>
      <c r="L37" s="8" t="inlineStr"/>
    </row>
    <row r="38">
      <c r="A38" s="8" t="inlineStr"/>
      <c r="B38" s="17" t="inlineStr"/>
      <c r="C38" s="8" t="inlineStr"/>
      <c r="D38" s="8" t="inlineStr"/>
      <c r="E38" s="8" t="inlineStr"/>
      <c r="F38" s="8" t="inlineStr"/>
      <c r="G38" s="18" t="inlineStr"/>
      <c r="H38" s="8" t="inlineStr"/>
      <c r="I38" s="8" t="inlineStr"/>
      <c r="J38" s="8" t="inlineStr"/>
      <c r="K38" s="8" t="inlineStr"/>
      <c r="L38" s="8" t="inlineStr"/>
    </row>
    <row r="39">
      <c r="A39" s="8" t="inlineStr"/>
      <c r="B39" s="17" t="inlineStr"/>
      <c r="C39" s="8" t="inlineStr"/>
      <c r="D39" s="8" t="inlineStr"/>
      <c r="E39" s="8" t="inlineStr"/>
      <c r="F39" s="8" t="inlineStr"/>
      <c r="G39" s="18" t="inlineStr"/>
      <c r="H39" s="8" t="inlineStr"/>
      <c r="I39" s="8" t="inlineStr"/>
      <c r="J39" s="8" t="inlineStr"/>
      <c r="K39" s="8" t="inlineStr"/>
      <c r="L39" s="8" t="inlineStr"/>
    </row>
    <row r="40">
      <c r="A40" s="8" t="inlineStr"/>
      <c r="B40" s="17" t="inlineStr"/>
      <c r="C40" s="8" t="inlineStr"/>
      <c r="D40" s="8" t="inlineStr"/>
      <c r="E40" s="8" t="inlineStr"/>
      <c r="F40" s="8" t="inlineStr"/>
      <c r="G40" s="18" t="inlineStr"/>
      <c r="H40" s="8" t="inlineStr"/>
      <c r="I40" s="8" t="inlineStr"/>
      <c r="J40" s="8" t="inlineStr"/>
      <c r="K40" s="8" t="inlineStr"/>
      <c r="L40" s="8" t="inlineStr"/>
    </row>
    <row r="41">
      <c r="A41" s="8" t="inlineStr"/>
      <c r="B41" s="17" t="inlineStr"/>
      <c r="C41" s="8" t="inlineStr"/>
      <c r="D41" s="8" t="inlineStr"/>
      <c r="E41" s="8" t="inlineStr"/>
      <c r="F41" s="8" t="inlineStr"/>
      <c r="G41" s="18" t="inlineStr"/>
      <c r="H41" s="8" t="inlineStr"/>
      <c r="I41" s="8" t="inlineStr"/>
      <c r="J41" s="8" t="inlineStr"/>
      <c r="K41" s="8" t="inlineStr"/>
      <c r="L41" s="8" t="inlineStr"/>
    </row>
    <row r="42">
      <c r="A42" s="8" t="inlineStr"/>
      <c r="B42" s="17" t="inlineStr"/>
      <c r="C42" s="8" t="inlineStr"/>
      <c r="D42" s="8" t="inlineStr"/>
      <c r="E42" s="8" t="inlineStr"/>
      <c r="F42" s="8" t="inlineStr"/>
      <c r="G42" s="18" t="inlineStr"/>
      <c r="H42" s="8" t="inlineStr"/>
      <c r="I42" s="8" t="inlineStr"/>
      <c r="J42" s="8" t="inlineStr"/>
      <c r="K42" s="8" t="inlineStr"/>
      <c r="L42" s="8" t="inlineStr"/>
    </row>
    <row r="43">
      <c r="A43" s="8" t="inlineStr"/>
      <c r="B43" s="17" t="inlineStr"/>
      <c r="C43" s="8" t="inlineStr"/>
      <c r="D43" s="8" t="inlineStr"/>
      <c r="E43" s="8" t="inlineStr"/>
      <c r="F43" s="8" t="inlineStr"/>
      <c r="G43" s="18" t="inlineStr"/>
      <c r="H43" s="8" t="inlineStr"/>
      <c r="I43" s="8" t="inlineStr"/>
      <c r="J43" s="8" t="inlineStr"/>
      <c r="K43" s="8" t="inlineStr"/>
      <c r="L43" s="8" t="inlineStr"/>
    </row>
    <row r="44">
      <c r="A44" s="8" t="inlineStr"/>
      <c r="B44" s="17" t="inlineStr"/>
      <c r="C44" s="8" t="inlineStr"/>
      <c r="D44" s="8" t="inlineStr"/>
      <c r="E44" s="8" t="inlineStr"/>
      <c r="F44" s="8" t="inlineStr"/>
      <c r="G44" s="18" t="inlineStr"/>
      <c r="H44" s="8" t="inlineStr"/>
      <c r="I44" s="8" t="inlineStr"/>
      <c r="J44" s="8" t="inlineStr"/>
      <c r="K44" s="8" t="inlineStr"/>
      <c r="L44" s="8" t="inlineStr"/>
    </row>
    <row r="45">
      <c r="A45" s="8" t="inlineStr"/>
      <c r="B45" s="17" t="inlineStr"/>
      <c r="C45" s="8" t="inlineStr"/>
      <c r="D45" s="8" t="inlineStr"/>
      <c r="E45" s="8" t="inlineStr"/>
      <c r="F45" s="8" t="inlineStr"/>
      <c r="G45" s="18" t="inlineStr"/>
      <c r="H45" s="8" t="inlineStr"/>
      <c r="I45" s="8" t="inlineStr"/>
      <c r="J45" s="8" t="inlineStr"/>
      <c r="K45" s="8" t="inlineStr"/>
      <c r="L45" s="8" t="inlineStr"/>
    </row>
    <row r="46">
      <c r="A46" s="8" t="inlineStr"/>
      <c r="B46" s="17" t="inlineStr"/>
      <c r="C46" s="8" t="inlineStr"/>
      <c r="D46" s="8" t="inlineStr"/>
      <c r="E46" s="8" t="inlineStr"/>
      <c r="F46" s="8" t="inlineStr"/>
      <c r="G46" s="18" t="inlineStr"/>
      <c r="H46" s="8" t="inlineStr"/>
      <c r="I46" s="8" t="inlineStr"/>
      <c r="J46" s="8" t="inlineStr"/>
      <c r="K46" s="8" t="inlineStr"/>
      <c r="L46" s="8" t="inlineStr"/>
    </row>
    <row r="47">
      <c r="A47" s="8" t="inlineStr"/>
      <c r="B47" s="17" t="inlineStr"/>
      <c r="C47" s="8" t="inlineStr"/>
      <c r="D47" s="8" t="inlineStr"/>
      <c r="E47" s="8" t="inlineStr"/>
      <c r="F47" s="8" t="inlineStr"/>
      <c r="G47" s="18" t="inlineStr"/>
      <c r="H47" s="8" t="inlineStr"/>
      <c r="I47" s="8" t="inlineStr"/>
      <c r="J47" s="8" t="inlineStr"/>
      <c r="K47" s="8" t="inlineStr"/>
      <c r="L47" s="8" t="inlineStr"/>
    </row>
    <row r="48">
      <c r="A48" s="8" t="inlineStr"/>
      <c r="B48" s="17" t="inlineStr"/>
      <c r="C48" s="8" t="inlineStr"/>
      <c r="D48" s="8" t="inlineStr"/>
      <c r="E48" s="8" t="inlineStr"/>
      <c r="F48" s="8" t="inlineStr"/>
      <c r="G48" s="18" t="inlineStr"/>
      <c r="H48" s="8" t="inlineStr"/>
      <c r="I48" s="8" t="inlineStr"/>
      <c r="J48" s="8" t="inlineStr"/>
      <c r="K48" s="8" t="inlineStr"/>
      <c r="L48" s="8" t="inlineStr"/>
    </row>
    <row r="49">
      <c r="A49" s="8" t="inlineStr"/>
      <c r="B49" s="17" t="inlineStr"/>
      <c r="C49" s="8" t="inlineStr"/>
      <c r="D49" s="8" t="inlineStr"/>
      <c r="E49" s="8" t="inlineStr"/>
      <c r="F49" s="8" t="inlineStr"/>
      <c r="G49" s="18" t="inlineStr"/>
      <c r="H49" s="8" t="inlineStr"/>
      <c r="I49" s="8" t="inlineStr"/>
      <c r="J49" s="8" t="inlineStr"/>
      <c r="K49" s="8" t="inlineStr"/>
      <c r="L49" s="8" t="inlineStr"/>
    </row>
    <row r="50">
      <c r="A50" s="8" t="inlineStr"/>
      <c r="B50" s="17" t="inlineStr"/>
      <c r="C50" s="8" t="inlineStr"/>
      <c r="D50" s="8" t="inlineStr"/>
      <c r="E50" s="8" t="inlineStr"/>
      <c r="F50" s="8" t="inlineStr"/>
      <c r="G50" s="18" t="inlineStr"/>
      <c r="H50" s="8" t="inlineStr"/>
      <c r="I50" s="8" t="inlineStr"/>
      <c r="J50" s="8" t="inlineStr"/>
      <c r="K50" s="8" t="inlineStr"/>
      <c r="L50" s="8" t="inlineStr"/>
    </row>
    <row r="51">
      <c r="A51" s="8" t="inlineStr"/>
      <c r="B51" s="17" t="inlineStr"/>
      <c r="C51" s="8" t="inlineStr"/>
      <c r="D51" s="8" t="inlineStr"/>
      <c r="E51" s="8" t="inlineStr"/>
      <c r="F51" s="8" t="inlineStr"/>
      <c r="G51" s="18" t="inlineStr"/>
      <c r="H51" s="8" t="inlineStr"/>
      <c r="I51" s="8" t="inlineStr"/>
      <c r="J51" s="8" t="inlineStr"/>
      <c r="K51" s="8" t="inlineStr"/>
      <c r="L51" s="8" t="inlineStr"/>
    </row>
    <row r="52">
      <c r="A52" s="8" t="inlineStr"/>
      <c r="B52" s="17" t="inlineStr"/>
      <c r="C52" s="8" t="inlineStr"/>
      <c r="D52" s="8" t="inlineStr"/>
      <c r="E52" s="8" t="inlineStr"/>
      <c r="F52" s="8" t="inlineStr"/>
      <c r="G52" s="18" t="inlineStr"/>
      <c r="H52" s="8" t="inlineStr"/>
      <c r="I52" s="8" t="inlineStr"/>
      <c r="J52" s="8" t="inlineStr"/>
      <c r="K52" s="8" t="inlineStr"/>
      <c r="L52" s="8" t="inlineStr"/>
    </row>
    <row r="53">
      <c r="A53" s="8" t="inlineStr"/>
      <c r="B53" s="17" t="inlineStr"/>
      <c r="C53" s="8" t="inlineStr"/>
      <c r="D53" s="8" t="inlineStr"/>
      <c r="E53" s="8" t="inlineStr"/>
      <c r="F53" s="8" t="inlineStr"/>
      <c r="G53" s="18" t="inlineStr"/>
      <c r="H53" s="8" t="inlineStr"/>
      <c r="I53" s="8" t="inlineStr"/>
      <c r="J53" s="8" t="inlineStr"/>
      <c r="K53" s="8" t="inlineStr"/>
      <c r="L53" s="8" t="inlineStr"/>
    </row>
    <row r="54">
      <c r="A54" s="8" t="inlineStr"/>
      <c r="B54" s="17" t="inlineStr"/>
      <c r="C54" s="8" t="inlineStr"/>
      <c r="D54" s="8" t="inlineStr"/>
      <c r="E54" s="8" t="inlineStr"/>
      <c r="F54" s="8" t="inlineStr"/>
      <c r="G54" s="18" t="inlineStr"/>
      <c r="H54" s="8" t="inlineStr"/>
      <c r="I54" s="8" t="inlineStr"/>
      <c r="J54" s="8" t="inlineStr"/>
      <c r="K54" s="8" t="inlineStr"/>
      <c r="L54" s="8" t="inlineStr"/>
    </row>
    <row r="55">
      <c r="A55" s="8" t="inlineStr"/>
      <c r="B55" s="17" t="inlineStr"/>
      <c r="C55" s="8" t="inlineStr"/>
      <c r="D55" s="8" t="inlineStr"/>
      <c r="E55" s="8" t="inlineStr"/>
      <c r="F55" s="8" t="inlineStr"/>
      <c r="G55" s="18" t="inlineStr"/>
      <c r="H55" s="8" t="inlineStr"/>
      <c r="I55" s="8" t="inlineStr"/>
      <c r="J55" s="8" t="inlineStr"/>
      <c r="K55" s="8" t="inlineStr"/>
      <c r="L55" s="8" t="inlineStr"/>
    </row>
    <row r="56">
      <c r="A56" s="8" t="inlineStr"/>
      <c r="B56" s="17" t="inlineStr"/>
      <c r="C56" s="8" t="inlineStr"/>
      <c r="D56" s="8" t="inlineStr"/>
      <c r="E56" s="8" t="inlineStr"/>
      <c r="F56" s="8" t="inlineStr"/>
      <c r="G56" s="18" t="inlineStr"/>
      <c r="H56" s="8" t="inlineStr"/>
      <c r="I56" s="8" t="inlineStr"/>
      <c r="J56" s="8" t="inlineStr"/>
      <c r="K56" s="8" t="inlineStr"/>
      <c r="L56" s="8" t="inlineStr"/>
    </row>
    <row r="57">
      <c r="A57" s="8" t="inlineStr"/>
      <c r="B57" s="17" t="inlineStr"/>
      <c r="C57" s="8" t="inlineStr"/>
      <c r="D57" s="8" t="inlineStr"/>
      <c r="E57" s="8" t="inlineStr"/>
      <c r="F57" s="8" t="inlineStr"/>
      <c r="G57" s="18" t="inlineStr"/>
      <c r="H57" s="8" t="inlineStr"/>
      <c r="I57" s="8" t="inlineStr"/>
      <c r="J57" s="8" t="inlineStr"/>
      <c r="K57" s="8" t="inlineStr"/>
      <c r="L57" s="8" t="inlineStr"/>
    </row>
    <row r="58">
      <c r="A58" s="8" t="inlineStr"/>
      <c r="B58" s="17" t="inlineStr"/>
      <c r="C58" s="8" t="inlineStr"/>
      <c r="D58" s="8" t="inlineStr"/>
      <c r="E58" s="8" t="inlineStr"/>
      <c r="F58" s="8" t="inlineStr"/>
      <c r="G58" s="18" t="inlineStr"/>
      <c r="H58" s="8" t="inlineStr"/>
      <c r="I58" s="8" t="inlineStr"/>
      <c r="J58" s="8" t="inlineStr"/>
      <c r="K58" s="8" t="inlineStr"/>
      <c r="L58" s="8" t="inlineStr"/>
    </row>
    <row r="59">
      <c r="A59" s="8" t="inlineStr"/>
      <c r="B59" s="17" t="inlineStr"/>
      <c r="C59" s="8" t="inlineStr"/>
      <c r="D59" s="8" t="inlineStr"/>
      <c r="E59" s="8" t="inlineStr"/>
      <c r="F59" s="8" t="inlineStr"/>
      <c r="G59" s="18" t="inlineStr"/>
      <c r="H59" s="8" t="inlineStr"/>
      <c r="I59" s="8" t="inlineStr"/>
      <c r="J59" s="8" t="inlineStr"/>
      <c r="K59" s="8" t="inlineStr"/>
      <c r="L59" s="8" t="inlineStr"/>
    </row>
    <row r="60">
      <c r="A60" s="8" t="inlineStr"/>
      <c r="B60" s="17" t="inlineStr"/>
      <c r="C60" s="8" t="inlineStr"/>
      <c r="D60" s="8" t="inlineStr"/>
      <c r="E60" s="8" t="inlineStr"/>
      <c r="F60" s="8" t="inlineStr"/>
      <c r="G60" s="18" t="inlineStr"/>
      <c r="H60" s="8" t="inlineStr"/>
      <c r="I60" s="8" t="inlineStr"/>
      <c r="J60" s="8" t="inlineStr"/>
      <c r="K60" s="8" t="inlineStr"/>
      <c r="L60" s="8" t="inlineStr"/>
    </row>
    <row r="61">
      <c r="A61" s="8" t="inlineStr"/>
      <c r="B61" s="17" t="inlineStr"/>
      <c r="C61" s="8" t="inlineStr"/>
      <c r="D61" s="8" t="inlineStr"/>
      <c r="E61" s="8" t="inlineStr"/>
      <c r="F61" s="8" t="inlineStr"/>
      <c r="G61" s="18" t="inlineStr"/>
      <c r="H61" s="8" t="inlineStr"/>
      <c r="I61" s="8" t="inlineStr"/>
      <c r="J61" s="8" t="inlineStr"/>
      <c r="K61" s="8" t="inlineStr"/>
      <c r="L61" s="8" t="inlineStr"/>
    </row>
    <row r="62">
      <c r="A62" s="8" t="inlineStr"/>
      <c r="B62" s="17" t="inlineStr"/>
      <c r="C62" s="8" t="inlineStr"/>
      <c r="D62" s="8" t="inlineStr"/>
      <c r="E62" s="8" t="inlineStr"/>
      <c r="F62" s="8" t="inlineStr"/>
      <c r="G62" s="18" t="inlineStr"/>
      <c r="H62" s="8" t="inlineStr"/>
      <c r="I62" s="8" t="inlineStr"/>
      <c r="J62" s="8" t="inlineStr"/>
      <c r="K62" s="8" t="inlineStr"/>
      <c r="L62" s="8" t="inlineStr"/>
    </row>
    <row r="63">
      <c r="A63" s="8" t="inlineStr"/>
      <c r="B63" s="17" t="inlineStr"/>
      <c r="C63" s="8" t="inlineStr"/>
      <c r="D63" s="8" t="inlineStr"/>
      <c r="E63" s="8" t="inlineStr"/>
      <c r="F63" s="8" t="inlineStr"/>
      <c r="G63" s="18" t="inlineStr"/>
      <c r="H63" s="8" t="inlineStr"/>
      <c r="I63" s="8" t="inlineStr"/>
      <c r="J63" s="8" t="inlineStr"/>
      <c r="K63" s="8" t="inlineStr"/>
      <c r="L63" s="8" t="inlineStr"/>
    </row>
    <row r="64">
      <c r="A64" s="8" t="inlineStr"/>
      <c r="B64" s="17" t="inlineStr"/>
      <c r="C64" s="8" t="inlineStr"/>
      <c r="D64" s="8" t="inlineStr"/>
      <c r="E64" s="8" t="inlineStr"/>
      <c r="F64" s="8" t="inlineStr"/>
      <c r="G64" s="18" t="inlineStr"/>
      <c r="H64" s="8" t="inlineStr"/>
      <c r="I64" s="8" t="inlineStr"/>
      <c r="J64" s="8" t="inlineStr"/>
      <c r="K64" s="8" t="inlineStr"/>
      <c r="L64" s="8" t="inlineStr"/>
    </row>
    <row r="65">
      <c r="A65" s="8" t="inlineStr"/>
      <c r="B65" s="17" t="inlineStr"/>
      <c r="C65" s="8" t="inlineStr"/>
      <c r="D65" s="8" t="inlineStr"/>
      <c r="E65" s="8" t="inlineStr"/>
      <c r="F65" s="8" t="inlineStr"/>
      <c r="G65" s="18" t="inlineStr"/>
      <c r="H65" s="8" t="inlineStr"/>
      <c r="I65" s="8" t="inlineStr"/>
      <c r="J65" s="8" t="inlineStr"/>
      <c r="K65" s="8" t="inlineStr"/>
      <c r="L65" s="8" t="inlineStr"/>
    </row>
    <row r="66">
      <c r="A66" s="8" t="inlineStr"/>
      <c r="B66" s="17" t="inlineStr"/>
      <c r="C66" s="8" t="inlineStr"/>
      <c r="D66" s="8" t="inlineStr"/>
      <c r="E66" s="8" t="inlineStr"/>
      <c r="F66" s="8" t="inlineStr"/>
      <c r="G66" s="18" t="inlineStr"/>
      <c r="H66" s="8" t="inlineStr"/>
      <c r="I66" s="8" t="inlineStr"/>
      <c r="J66" s="8" t="inlineStr"/>
      <c r="K66" s="8" t="inlineStr"/>
      <c r="L66" s="8" t="inlineStr"/>
    </row>
    <row r="67">
      <c r="A67" s="8" t="inlineStr"/>
      <c r="B67" s="17" t="inlineStr"/>
      <c r="C67" s="8" t="inlineStr"/>
      <c r="D67" s="8" t="inlineStr"/>
      <c r="E67" s="8" t="inlineStr"/>
      <c r="F67" s="8" t="inlineStr"/>
      <c r="G67" s="18" t="inlineStr"/>
      <c r="H67" s="8" t="inlineStr"/>
      <c r="I67" s="8" t="inlineStr"/>
      <c r="J67" s="8" t="inlineStr"/>
      <c r="K67" s="8" t="inlineStr"/>
      <c r="L67" s="8" t="inlineStr"/>
    </row>
    <row r="68">
      <c r="A68" s="8" t="inlineStr"/>
      <c r="B68" s="17" t="inlineStr"/>
      <c r="C68" s="8" t="inlineStr"/>
      <c r="D68" s="8" t="inlineStr"/>
      <c r="E68" s="8" t="inlineStr"/>
      <c r="F68" s="8" t="inlineStr"/>
      <c r="G68" s="18" t="inlineStr"/>
      <c r="H68" s="8" t="inlineStr"/>
      <c r="I68" s="8" t="inlineStr"/>
      <c r="J68" s="8" t="inlineStr"/>
      <c r="K68" s="8" t="inlineStr"/>
      <c r="L68" s="8" t="inlineStr"/>
    </row>
    <row r="69">
      <c r="A69" s="8" t="inlineStr"/>
      <c r="B69" s="17" t="inlineStr"/>
      <c r="C69" s="8" t="inlineStr"/>
      <c r="D69" s="8" t="inlineStr"/>
      <c r="E69" s="8" t="inlineStr"/>
      <c r="F69" s="8" t="inlineStr"/>
      <c r="G69" s="18" t="inlineStr"/>
      <c r="H69" s="8" t="inlineStr"/>
      <c r="I69" s="8" t="inlineStr"/>
      <c r="J69" s="8" t="inlineStr"/>
      <c r="K69" s="8" t="inlineStr"/>
      <c r="L69" s="8" t="inlineStr"/>
    </row>
    <row r="70">
      <c r="A70" s="8" t="inlineStr"/>
      <c r="B70" s="17" t="inlineStr"/>
      <c r="C70" s="8" t="inlineStr"/>
      <c r="D70" s="8" t="inlineStr"/>
      <c r="E70" s="8" t="inlineStr"/>
      <c r="F70" s="8" t="inlineStr"/>
      <c r="G70" s="18" t="inlineStr"/>
      <c r="H70" s="8" t="inlineStr"/>
      <c r="I70" s="8" t="inlineStr"/>
      <c r="J70" s="8" t="inlineStr"/>
      <c r="K70" s="8" t="inlineStr"/>
      <c r="L70" s="8" t="inlineStr"/>
    </row>
    <row r="71">
      <c r="A71" s="8" t="inlineStr"/>
      <c r="B71" s="17" t="inlineStr"/>
      <c r="C71" s="8" t="inlineStr"/>
      <c r="D71" s="8" t="inlineStr"/>
      <c r="E71" s="8" t="inlineStr"/>
      <c r="F71" s="8" t="inlineStr"/>
      <c r="G71" s="18" t="inlineStr"/>
      <c r="H71" s="8" t="inlineStr"/>
      <c r="I71" s="8" t="inlineStr"/>
      <c r="J71" s="8" t="inlineStr"/>
      <c r="K71" s="8" t="inlineStr"/>
      <c r="L71" s="8" t="inlineStr"/>
    </row>
    <row r="72">
      <c r="A72" s="8" t="inlineStr"/>
      <c r="B72" s="17" t="inlineStr"/>
      <c r="C72" s="8" t="inlineStr"/>
      <c r="D72" s="8" t="inlineStr"/>
      <c r="E72" s="8" t="inlineStr"/>
      <c r="F72" s="8" t="inlineStr"/>
      <c r="G72" s="18" t="inlineStr"/>
      <c r="H72" s="8" t="inlineStr"/>
      <c r="I72" s="8" t="inlineStr"/>
      <c r="J72" s="8" t="inlineStr"/>
      <c r="K72" s="8" t="inlineStr"/>
      <c r="L72" s="8" t="inlineStr"/>
    </row>
    <row r="73">
      <c r="A73" s="8" t="inlineStr"/>
      <c r="B73" s="17" t="inlineStr"/>
      <c r="C73" s="8" t="inlineStr"/>
      <c r="D73" s="8" t="inlineStr"/>
      <c r="E73" s="8" t="inlineStr"/>
      <c r="F73" s="8" t="inlineStr"/>
      <c r="G73" s="18" t="inlineStr"/>
      <c r="H73" s="8" t="inlineStr"/>
      <c r="I73" s="8" t="inlineStr"/>
      <c r="J73" s="8" t="inlineStr"/>
      <c r="K73" s="8" t="inlineStr"/>
      <c r="L73" s="8" t="inlineStr"/>
    </row>
    <row r="74">
      <c r="A74" s="8" t="inlineStr"/>
      <c r="B74" s="17" t="inlineStr"/>
      <c r="C74" s="8" t="inlineStr"/>
      <c r="D74" s="8" t="inlineStr"/>
      <c r="E74" s="8" t="inlineStr"/>
      <c r="F74" s="8" t="inlineStr"/>
      <c r="G74" s="18" t="inlineStr"/>
      <c r="H74" s="8" t="inlineStr"/>
      <c r="I74" s="8" t="inlineStr"/>
      <c r="J74" s="8" t="inlineStr"/>
      <c r="K74" s="8" t="inlineStr"/>
      <c r="L74" s="8" t="inlineStr"/>
    </row>
    <row r="75">
      <c r="A75" s="8" t="inlineStr"/>
      <c r="B75" s="17" t="inlineStr"/>
      <c r="C75" s="8" t="inlineStr"/>
      <c r="D75" s="8" t="inlineStr"/>
      <c r="E75" s="8" t="inlineStr"/>
      <c r="F75" s="8" t="inlineStr"/>
      <c r="G75" s="18" t="inlineStr"/>
      <c r="H75" s="8" t="inlineStr"/>
      <c r="I75" s="8" t="inlineStr"/>
      <c r="J75" s="8" t="inlineStr"/>
      <c r="K75" s="8" t="inlineStr"/>
      <c r="L75" s="8" t="inlineStr"/>
    </row>
    <row r="76">
      <c r="A76" s="8" t="inlineStr"/>
      <c r="B76" s="17" t="inlineStr"/>
      <c r="C76" s="8" t="inlineStr"/>
      <c r="D76" s="8" t="inlineStr"/>
      <c r="E76" s="8" t="inlineStr"/>
      <c r="F76" s="8" t="inlineStr"/>
      <c r="G76" s="18" t="inlineStr"/>
      <c r="H76" s="8" t="inlineStr"/>
      <c r="I76" s="8" t="inlineStr"/>
      <c r="J76" s="8" t="inlineStr"/>
      <c r="K76" s="8" t="inlineStr"/>
      <c r="L76" s="8" t="inlineStr"/>
    </row>
    <row r="77">
      <c r="A77" s="8" t="inlineStr"/>
      <c r="B77" s="17" t="inlineStr"/>
      <c r="C77" s="8" t="inlineStr"/>
      <c r="D77" s="8" t="inlineStr"/>
      <c r="E77" s="8" t="inlineStr"/>
      <c r="F77" s="8" t="inlineStr"/>
      <c r="G77" s="18" t="inlineStr"/>
      <c r="H77" s="8" t="inlineStr"/>
      <c r="I77" s="8" t="inlineStr"/>
      <c r="J77" s="8" t="inlineStr"/>
      <c r="K77" s="8" t="inlineStr"/>
      <c r="L77" s="8" t="inlineStr"/>
    </row>
    <row r="78">
      <c r="A78" s="8" t="inlineStr"/>
      <c r="B78" s="17" t="inlineStr"/>
      <c r="C78" s="8" t="inlineStr"/>
      <c r="D78" s="8" t="inlineStr"/>
      <c r="E78" s="8" t="inlineStr"/>
      <c r="F78" s="8" t="inlineStr"/>
      <c r="G78" s="18" t="inlineStr"/>
      <c r="H78" s="8" t="inlineStr"/>
      <c r="I78" s="8" t="inlineStr"/>
      <c r="J78" s="8" t="inlineStr"/>
      <c r="K78" s="8" t="inlineStr"/>
      <c r="L78" s="8" t="inlineStr"/>
    </row>
    <row r="79">
      <c r="A79" s="8" t="inlineStr"/>
      <c r="B79" s="17" t="inlineStr"/>
      <c r="C79" s="8" t="inlineStr"/>
      <c r="D79" s="8" t="inlineStr"/>
      <c r="E79" s="8" t="inlineStr"/>
      <c r="F79" s="8" t="inlineStr"/>
      <c r="G79" s="18" t="inlineStr"/>
      <c r="H79" s="8" t="inlineStr"/>
      <c r="I79" s="8" t="inlineStr"/>
      <c r="J79" s="8" t="inlineStr"/>
      <c r="K79" s="8" t="inlineStr"/>
      <c r="L79" s="8" t="inlineStr"/>
    </row>
    <row r="80">
      <c r="A80" s="8" t="inlineStr"/>
      <c r="B80" s="17" t="inlineStr"/>
      <c r="C80" s="8" t="inlineStr"/>
      <c r="D80" s="8" t="inlineStr"/>
      <c r="E80" s="8" t="inlineStr"/>
      <c r="F80" s="8" t="inlineStr"/>
      <c r="G80" s="18" t="inlineStr"/>
      <c r="H80" s="8" t="inlineStr"/>
      <c r="I80" s="8" t="inlineStr"/>
      <c r="J80" s="8" t="inlineStr"/>
      <c r="K80" s="8" t="inlineStr"/>
      <c r="L80" s="8" t="inlineStr"/>
    </row>
    <row r="81">
      <c r="A81" s="8" t="inlineStr"/>
      <c r="B81" s="17" t="inlineStr"/>
      <c r="C81" s="8" t="inlineStr"/>
      <c r="D81" s="8" t="inlineStr"/>
      <c r="E81" s="8" t="inlineStr"/>
      <c r="F81" s="8" t="inlineStr"/>
      <c r="G81" s="18" t="inlineStr"/>
      <c r="H81" s="8" t="inlineStr"/>
      <c r="I81" s="8" t="inlineStr"/>
      <c r="J81" s="8" t="inlineStr"/>
      <c r="K81" s="8" t="inlineStr"/>
      <c r="L81" s="8" t="inlineStr"/>
    </row>
    <row r="82">
      <c r="A82" s="8" t="inlineStr"/>
      <c r="B82" s="17" t="inlineStr"/>
      <c r="C82" s="8" t="inlineStr"/>
      <c r="D82" s="8" t="inlineStr"/>
      <c r="E82" s="8" t="inlineStr"/>
      <c r="F82" s="8" t="inlineStr"/>
      <c r="G82" s="18" t="inlineStr"/>
      <c r="H82" s="8" t="inlineStr"/>
      <c r="I82" s="8" t="inlineStr"/>
      <c r="J82" s="8" t="inlineStr"/>
      <c r="K82" s="8" t="inlineStr"/>
      <c r="L82" s="8" t="inlineStr"/>
    </row>
    <row r="83">
      <c r="A83" s="8" t="inlineStr"/>
      <c r="B83" s="17" t="inlineStr"/>
      <c r="C83" s="8" t="inlineStr"/>
      <c r="D83" s="8" t="inlineStr"/>
      <c r="E83" s="8" t="inlineStr"/>
      <c r="F83" s="8" t="inlineStr"/>
      <c r="G83" s="18" t="inlineStr"/>
      <c r="H83" s="8" t="inlineStr"/>
      <c r="I83" s="8" t="inlineStr"/>
      <c r="J83" s="8" t="inlineStr"/>
      <c r="K83" s="8" t="inlineStr"/>
      <c r="L83" s="8" t="inlineStr"/>
    </row>
    <row r="84">
      <c r="A84" s="8" t="inlineStr"/>
      <c r="B84" s="17" t="inlineStr"/>
      <c r="C84" s="8" t="inlineStr"/>
      <c r="D84" s="8" t="inlineStr"/>
      <c r="E84" s="8" t="inlineStr"/>
      <c r="F84" s="8" t="inlineStr"/>
      <c r="G84" s="18" t="inlineStr"/>
      <c r="H84" s="8" t="inlineStr"/>
      <c r="I84" s="8" t="inlineStr"/>
      <c r="J84" s="8" t="inlineStr"/>
      <c r="K84" s="8" t="inlineStr"/>
      <c r="L84" s="8" t="inlineStr"/>
    </row>
    <row r="85">
      <c r="A85" s="8" t="inlineStr"/>
      <c r="B85" s="17" t="inlineStr"/>
      <c r="C85" s="8" t="inlineStr"/>
      <c r="D85" s="8" t="inlineStr"/>
      <c r="E85" s="8" t="inlineStr"/>
      <c r="F85" s="8" t="inlineStr"/>
      <c r="G85" s="18" t="inlineStr"/>
      <c r="H85" s="8" t="inlineStr"/>
      <c r="I85" s="8" t="inlineStr"/>
      <c r="J85" s="8" t="inlineStr"/>
      <c r="K85" s="8" t="inlineStr"/>
      <c r="L85" s="8" t="inlineStr"/>
    </row>
    <row r="86">
      <c r="A86" s="8" t="inlineStr"/>
      <c r="B86" s="17" t="inlineStr"/>
      <c r="C86" s="8" t="inlineStr"/>
      <c r="D86" s="8" t="inlineStr"/>
      <c r="E86" s="8" t="inlineStr"/>
      <c r="F86" s="8" t="inlineStr"/>
      <c r="G86" s="18" t="inlineStr"/>
      <c r="H86" s="8" t="inlineStr"/>
      <c r="I86" s="8" t="inlineStr"/>
      <c r="J86" s="8" t="inlineStr"/>
      <c r="K86" s="8" t="inlineStr"/>
      <c r="L86" s="8" t="inlineStr"/>
    </row>
    <row r="87">
      <c r="A87" s="8" t="inlineStr"/>
      <c r="B87" s="17" t="inlineStr"/>
      <c r="C87" s="8" t="inlineStr"/>
      <c r="D87" s="8" t="inlineStr"/>
      <c r="E87" s="8" t="inlineStr"/>
      <c r="F87" s="8" t="inlineStr"/>
      <c r="G87" s="18" t="inlineStr"/>
      <c r="H87" s="8" t="inlineStr"/>
      <c r="I87" s="8" t="inlineStr"/>
      <c r="J87" s="8" t="inlineStr"/>
      <c r="K87" s="8" t="inlineStr"/>
      <c r="L87" s="8" t="inlineStr"/>
    </row>
    <row r="88">
      <c r="A88" s="8" t="inlineStr"/>
      <c r="B88" s="17" t="inlineStr"/>
      <c r="C88" s="8" t="inlineStr"/>
      <c r="D88" s="8" t="inlineStr"/>
      <c r="E88" s="8" t="inlineStr"/>
      <c r="F88" s="8" t="inlineStr"/>
      <c r="G88" s="18" t="inlineStr"/>
      <c r="H88" s="8" t="inlineStr"/>
      <c r="I88" s="8" t="inlineStr"/>
      <c r="J88" s="8" t="inlineStr"/>
      <c r="K88" s="8" t="inlineStr"/>
      <c r="L88" s="8" t="inlineStr"/>
    </row>
    <row r="89">
      <c r="A89" s="8" t="inlineStr"/>
      <c r="B89" s="17" t="inlineStr"/>
      <c r="C89" s="8" t="inlineStr"/>
      <c r="D89" s="8" t="inlineStr"/>
      <c r="E89" s="8" t="inlineStr"/>
      <c r="F89" s="8" t="inlineStr"/>
      <c r="G89" s="18" t="inlineStr"/>
      <c r="H89" s="8" t="inlineStr"/>
      <c r="I89" s="8" t="inlineStr"/>
      <c r="J89" s="8" t="inlineStr"/>
      <c r="K89" s="8" t="inlineStr"/>
      <c r="L89" s="8" t="inlineStr"/>
    </row>
    <row r="90">
      <c r="A90" s="8" t="inlineStr"/>
      <c r="B90" s="17" t="inlineStr"/>
      <c r="C90" s="8" t="inlineStr"/>
      <c r="D90" s="8" t="inlineStr"/>
      <c r="E90" s="8" t="inlineStr"/>
      <c r="F90" s="8" t="inlineStr"/>
      <c r="G90" s="18" t="inlineStr"/>
      <c r="H90" s="8" t="inlineStr"/>
      <c r="I90" s="8" t="inlineStr"/>
      <c r="J90" s="8" t="inlineStr"/>
      <c r="K90" s="8" t="inlineStr"/>
      <c r="L90" s="8" t="inlineStr"/>
    </row>
    <row r="91">
      <c r="A91" s="8" t="inlineStr"/>
      <c r="B91" s="17" t="inlineStr"/>
      <c r="C91" s="8" t="inlineStr"/>
      <c r="D91" s="8" t="inlineStr"/>
      <c r="E91" s="8" t="inlineStr"/>
      <c r="F91" s="8" t="inlineStr"/>
      <c r="G91" s="18" t="inlineStr"/>
      <c r="H91" s="8" t="inlineStr"/>
      <c r="I91" s="8" t="inlineStr"/>
      <c r="J91" s="8" t="inlineStr"/>
      <c r="K91" s="8" t="inlineStr"/>
      <c r="L91" s="8" t="inlineStr"/>
    </row>
    <row r="92">
      <c r="A92" s="8" t="inlineStr"/>
      <c r="B92" s="17" t="inlineStr"/>
      <c r="C92" s="8" t="inlineStr"/>
      <c r="D92" s="8" t="inlineStr"/>
      <c r="E92" s="8" t="inlineStr"/>
      <c r="F92" s="8" t="inlineStr"/>
      <c r="G92" s="18" t="inlineStr"/>
      <c r="H92" s="8" t="inlineStr"/>
      <c r="I92" s="8" t="inlineStr"/>
      <c r="J92" s="8" t="inlineStr"/>
      <c r="K92" s="8" t="inlineStr"/>
      <c r="L92" s="8" t="inlineStr"/>
    </row>
    <row r="93">
      <c r="A93" s="8" t="inlineStr"/>
      <c r="B93" s="17" t="inlineStr"/>
      <c r="C93" s="8" t="inlineStr"/>
      <c r="D93" s="8" t="inlineStr"/>
      <c r="E93" s="8" t="inlineStr"/>
      <c r="F93" s="8" t="inlineStr"/>
      <c r="G93" s="18" t="inlineStr"/>
      <c r="H93" s="8" t="inlineStr"/>
      <c r="I93" s="8" t="inlineStr"/>
      <c r="J93" s="8" t="inlineStr"/>
      <c r="K93" s="8" t="inlineStr"/>
      <c r="L93" s="8" t="inlineStr"/>
    </row>
    <row r="94">
      <c r="A94" s="8" t="inlineStr"/>
      <c r="B94" s="17" t="inlineStr"/>
      <c r="C94" s="8" t="inlineStr"/>
      <c r="D94" s="8" t="inlineStr"/>
      <c r="E94" s="8" t="inlineStr"/>
      <c r="F94" s="8" t="inlineStr"/>
      <c r="G94" s="18" t="inlineStr"/>
      <c r="H94" s="8" t="inlineStr"/>
      <c r="I94" s="8" t="inlineStr"/>
      <c r="J94" s="8" t="inlineStr"/>
      <c r="K94" s="8" t="inlineStr"/>
      <c r="L94" s="8" t="inlineStr"/>
    </row>
    <row r="95">
      <c r="A95" s="8" t="inlineStr"/>
      <c r="B95" s="17" t="inlineStr"/>
      <c r="C95" s="8" t="inlineStr"/>
      <c r="D95" s="8" t="inlineStr"/>
      <c r="E95" s="8" t="inlineStr"/>
      <c r="F95" s="8" t="inlineStr"/>
      <c r="G95" s="18" t="inlineStr"/>
      <c r="H95" s="8" t="inlineStr"/>
      <c r="I95" s="8" t="inlineStr"/>
      <c r="J95" s="8" t="inlineStr"/>
      <c r="K95" s="8" t="inlineStr"/>
      <c r="L95" s="8" t="inlineStr"/>
    </row>
    <row r="96">
      <c r="A96" s="8" t="inlineStr"/>
      <c r="B96" s="17" t="inlineStr"/>
      <c r="C96" s="8" t="inlineStr"/>
      <c r="D96" s="8" t="inlineStr"/>
      <c r="E96" s="8" t="inlineStr"/>
      <c r="F96" s="8" t="inlineStr"/>
      <c r="G96" s="18" t="inlineStr"/>
      <c r="H96" s="8" t="inlineStr"/>
      <c r="I96" s="8" t="inlineStr"/>
      <c r="J96" s="8" t="inlineStr"/>
      <c r="K96" s="8" t="inlineStr"/>
      <c r="L96" s="8" t="inlineStr"/>
    </row>
    <row r="97">
      <c r="A97" s="8" t="inlineStr"/>
      <c r="B97" s="17" t="inlineStr"/>
      <c r="C97" s="8" t="inlineStr"/>
      <c r="D97" s="8" t="inlineStr"/>
      <c r="E97" s="8" t="inlineStr"/>
      <c r="F97" s="8" t="inlineStr"/>
      <c r="G97" s="18" t="inlineStr"/>
      <c r="H97" s="8" t="inlineStr"/>
      <c r="I97" s="8" t="inlineStr"/>
      <c r="J97" s="8" t="inlineStr"/>
      <c r="K97" s="8" t="inlineStr"/>
      <c r="L97" s="8" t="inlineStr"/>
    </row>
    <row r="98">
      <c r="A98" s="8" t="inlineStr"/>
      <c r="B98" s="17" t="inlineStr"/>
      <c r="C98" s="8" t="inlineStr"/>
      <c r="D98" s="8" t="inlineStr"/>
      <c r="E98" s="8" t="inlineStr"/>
      <c r="F98" s="8" t="inlineStr"/>
      <c r="G98" s="18" t="inlineStr"/>
      <c r="H98" s="8" t="inlineStr"/>
      <c r="I98" s="8" t="inlineStr"/>
      <c r="J98" s="8" t="inlineStr"/>
      <c r="K98" s="8" t="inlineStr"/>
      <c r="L98" s="8" t="inlineStr"/>
    </row>
    <row r="99">
      <c r="A99" s="8" t="inlineStr"/>
      <c r="B99" s="17" t="inlineStr"/>
      <c r="C99" s="8" t="inlineStr"/>
      <c r="D99" s="8" t="inlineStr"/>
      <c r="E99" s="8" t="inlineStr"/>
      <c r="F99" s="8" t="inlineStr"/>
      <c r="G99" s="18" t="inlineStr"/>
      <c r="H99" s="8" t="inlineStr"/>
      <c r="I99" s="8" t="inlineStr"/>
      <c r="J99" s="8" t="inlineStr"/>
      <c r="K99" s="8" t="inlineStr"/>
      <c r="L99" s="8" t="inlineStr"/>
    </row>
    <row r="100">
      <c r="A100" s="8" t="inlineStr"/>
      <c r="B100" s="17" t="inlineStr"/>
      <c r="C100" s="8" t="inlineStr"/>
      <c r="D100" s="8" t="inlineStr"/>
      <c r="E100" s="8" t="inlineStr"/>
      <c r="F100" s="8" t="inlineStr"/>
      <c r="G100" s="18" t="inlineStr"/>
      <c r="H100" s="8" t="inlineStr"/>
      <c r="I100" s="8" t="inlineStr"/>
      <c r="J100" s="8" t="inlineStr"/>
      <c r="K100" s="8" t="inlineStr"/>
      <c r="L100" s="8" t="inlineStr"/>
    </row>
    <row r="101">
      <c r="A101" s="8" t="inlineStr"/>
      <c r="B101" s="17" t="inlineStr"/>
      <c r="C101" s="8" t="inlineStr"/>
      <c r="D101" s="8" t="inlineStr"/>
      <c r="E101" s="8" t="inlineStr"/>
      <c r="F101" s="8" t="inlineStr"/>
      <c r="G101" s="18" t="inlineStr"/>
      <c r="H101" s="8" t="inlineStr"/>
      <c r="I101" s="8" t="inlineStr"/>
      <c r="J101" s="8" t="inlineStr"/>
      <c r="K101" s="8" t="inlineStr"/>
      <c r="L101" s="8" t="inlineStr"/>
    </row>
    <row r="102">
      <c r="A102" s="8" t="inlineStr"/>
      <c r="B102" s="17" t="inlineStr"/>
      <c r="C102" s="8" t="inlineStr"/>
      <c r="D102" s="8" t="inlineStr"/>
      <c r="E102" s="8" t="inlineStr"/>
      <c r="F102" s="8" t="inlineStr"/>
      <c r="G102" s="18" t="inlineStr"/>
      <c r="H102" s="8" t="inlineStr"/>
      <c r="I102" s="8" t="inlineStr"/>
      <c r="J102" s="8" t="inlineStr"/>
      <c r="K102" s="8" t="inlineStr"/>
      <c r="L102" s="8" t="inlineStr"/>
    </row>
    <row r="103">
      <c r="A103" s="8" t="inlineStr"/>
      <c r="B103" s="17" t="inlineStr"/>
      <c r="C103" s="8" t="inlineStr"/>
      <c r="D103" s="8" t="inlineStr"/>
      <c r="E103" s="8" t="inlineStr"/>
      <c r="F103" s="8" t="inlineStr"/>
      <c r="G103" s="18" t="inlineStr"/>
      <c r="H103" s="8" t="inlineStr"/>
      <c r="I103" s="8" t="inlineStr"/>
      <c r="J103" s="8" t="inlineStr"/>
      <c r="K103" s="8" t="inlineStr"/>
      <c r="L103" s="8" t="inlineStr"/>
    </row>
    <row r="104">
      <c r="A104" s="8" t="inlineStr"/>
      <c r="B104" s="17" t="inlineStr"/>
      <c r="C104" s="8" t="inlineStr"/>
      <c r="D104" s="8" t="inlineStr"/>
      <c r="E104" s="8" t="inlineStr"/>
      <c r="F104" s="8" t="inlineStr"/>
      <c r="G104" s="18" t="inlineStr"/>
      <c r="H104" s="8" t="inlineStr"/>
      <c r="I104" s="8" t="inlineStr"/>
      <c r="J104" s="8" t="inlineStr"/>
      <c r="K104" s="8" t="inlineStr"/>
      <c r="L104" s="8" t="inlineStr"/>
    </row>
    <row r="105">
      <c r="A105" s="8" t="inlineStr"/>
      <c r="B105" s="17" t="inlineStr"/>
      <c r="C105" s="8" t="inlineStr"/>
      <c r="D105" s="8" t="inlineStr"/>
      <c r="E105" s="8" t="inlineStr"/>
      <c r="F105" s="8" t="inlineStr"/>
      <c r="G105" s="18" t="inlineStr"/>
      <c r="H105" s="8" t="inlineStr"/>
      <c r="I105" s="8" t="inlineStr"/>
      <c r="J105" s="8" t="inlineStr"/>
      <c r="K105" s="8" t="inlineStr"/>
      <c r="L105" s="8" t="inlineStr"/>
    </row>
    <row r="106">
      <c r="A106" s="8" t="inlineStr"/>
      <c r="B106" s="17" t="inlineStr"/>
      <c r="C106" s="8" t="inlineStr"/>
      <c r="D106" s="8" t="inlineStr"/>
      <c r="E106" s="8" t="inlineStr"/>
      <c r="F106" s="8" t="inlineStr"/>
      <c r="G106" s="18" t="inlineStr"/>
      <c r="H106" s="8" t="inlineStr"/>
      <c r="I106" s="8" t="inlineStr"/>
      <c r="J106" s="8" t="inlineStr"/>
      <c r="K106" s="8" t="inlineStr"/>
      <c r="L106" s="8" t="inlineStr"/>
    </row>
    <row r="107">
      <c r="A107" s="8" t="inlineStr"/>
      <c r="B107" s="17" t="inlineStr"/>
      <c r="C107" s="8" t="inlineStr"/>
      <c r="D107" s="8" t="inlineStr"/>
      <c r="E107" s="8" t="inlineStr"/>
      <c r="F107" s="8" t="inlineStr"/>
      <c r="G107" s="18" t="inlineStr"/>
      <c r="H107" s="8" t="inlineStr"/>
      <c r="I107" s="8" t="inlineStr"/>
      <c r="J107" s="8" t="inlineStr"/>
      <c r="K107" s="8" t="inlineStr"/>
      <c r="L107" s="8" t="inlineStr"/>
    </row>
    <row r="108">
      <c r="A108" s="8" t="inlineStr"/>
      <c r="B108" s="17" t="inlineStr"/>
      <c r="C108" s="8" t="inlineStr"/>
      <c r="D108" s="8" t="inlineStr"/>
      <c r="E108" s="8" t="inlineStr"/>
      <c r="F108" s="8" t="inlineStr"/>
      <c r="G108" s="18" t="inlineStr"/>
      <c r="H108" s="8" t="inlineStr"/>
      <c r="I108" s="8" t="inlineStr"/>
      <c r="J108" s="8" t="inlineStr"/>
      <c r="K108" s="8" t="inlineStr"/>
      <c r="L108" s="8" t="inlineStr"/>
    </row>
    <row r="109">
      <c r="A109" s="8" t="inlineStr"/>
      <c r="B109" s="17" t="inlineStr"/>
      <c r="C109" s="8" t="inlineStr"/>
      <c r="D109" s="8" t="inlineStr"/>
      <c r="E109" s="8" t="inlineStr"/>
      <c r="F109" s="8" t="inlineStr"/>
      <c r="G109" s="18" t="inlineStr"/>
      <c r="H109" s="8" t="inlineStr"/>
      <c r="I109" s="8" t="inlineStr"/>
      <c r="J109" s="8" t="inlineStr"/>
      <c r="K109" s="8" t="inlineStr"/>
      <c r="L109" s="8" t="inlineStr"/>
    </row>
    <row r="110">
      <c r="A110" s="8" t="inlineStr"/>
      <c r="B110" s="17" t="inlineStr"/>
      <c r="C110" s="8" t="inlineStr"/>
      <c r="D110" s="8" t="inlineStr"/>
      <c r="E110" s="8" t="inlineStr"/>
      <c r="F110" s="8" t="inlineStr"/>
      <c r="G110" s="18" t="inlineStr"/>
      <c r="H110" s="8" t="inlineStr"/>
      <c r="I110" s="8" t="inlineStr"/>
      <c r="J110" s="8" t="inlineStr"/>
      <c r="K110" s="8" t="inlineStr"/>
      <c r="L110" s="8" t="inlineStr"/>
    </row>
    <row r="111">
      <c r="A111" s="8" t="inlineStr"/>
      <c r="B111" s="17" t="inlineStr"/>
      <c r="C111" s="8" t="inlineStr"/>
      <c r="D111" s="8" t="inlineStr"/>
      <c r="E111" s="8" t="inlineStr"/>
      <c r="F111" s="8" t="inlineStr"/>
      <c r="G111" s="18" t="inlineStr"/>
      <c r="H111" s="8" t="inlineStr"/>
      <c r="I111" s="8" t="inlineStr"/>
      <c r="J111" s="8" t="inlineStr"/>
      <c r="K111" s="8" t="inlineStr"/>
      <c r="L111" s="8" t="inlineStr"/>
    </row>
    <row r="112">
      <c r="A112" s="8" t="inlineStr"/>
      <c r="B112" s="17" t="inlineStr"/>
      <c r="C112" s="8" t="inlineStr"/>
      <c r="D112" s="8" t="inlineStr"/>
      <c r="E112" s="8" t="inlineStr"/>
      <c r="F112" s="8" t="inlineStr"/>
      <c r="G112" s="18" t="inlineStr"/>
      <c r="H112" s="8" t="inlineStr"/>
      <c r="I112" s="8" t="inlineStr"/>
      <c r="J112" s="8" t="inlineStr"/>
      <c r="K112" s="8" t="inlineStr"/>
      <c r="L112" s="8" t="inlineStr"/>
    </row>
    <row r="113">
      <c r="A113" s="8" t="inlineStr"/>
      <c r="B113" s="17" t="inlineStr"/>
      <c r="C113" s="8" t="inlineStr"/>
      <c r="D113" s="8" t="inlineStr"/>
      <c r="E113" s="8" t="inlineStr"/>
      <c r="F113" s="8" t="inlineStr"/>
      <c r="G113" s="18" t="inlineStr"/>
      <c r="H113" s="8" t="inlineStr"/>
      <c r="I113" s="8" t="inlineStr"/>
      <c r="J113" s="8" t="inlineStr"/>
      <c r="K113" s="8" t="inlineStr"/>
      <c r="L113" s="8" t="inlineStr"/>
    </row>
    <row r="114">
      <c r="A114" s="8" t="inlineStr"/>
      <c r="B114" s="17" t="inlineStr"/>
      <c r="C114" s="8" t="inlineStr"/>
      <c r="D114" s="8" t="inlineStr"/>
      <c r="E114" s="8" t="inlineStr"/>
      <c r="F114" s="8" t="inlineStr"/>
      <c r="G114" s="18" t="inlineStr"/>
      <c r="H114" s="8" t="inlineStr"/>
      <c r="I114" s="8" t="inlineStr"/>
      <c r="J114" s="8" t="inlineStr"/>
      <c r="K114" s="8" t="inlineStr"/>
      <c r="L114" s="8" t="inlineStr"/>
    </row>
    <row r="115">
      <c r="A115" s="8" t="inlineStr"/>
      <c r="B115" s="17" t="inlineStr"/>
      <c r="C115" s="8" t="inlineStr"/>
      <c r="D115" s="8" t="inlineStr"/>
      <c r="E115" s="8" t="inlineStr"/>
      <c r="F115" s="8" t="inlineStr"/>
      <c r="G115" s="18" t="inlineStr"/>
      <c r="H115" s="8" t="inlineStr"/>
      <c r="I115" s="8" t="inlineStr"/>
      <c r="J115" s="8" t="inlineStr"/>
      <c r="K115" s="8" t="inlineStr"/>
      <c r="L115" s="8" t="inlineStr"/>
    </row>
    <row r="116">
      <c r="A116" s="8" t="inlineStr"/>
      <c r="B116" s="17" t="inlineStr"/>
      <c r="C116" s="8" t="inlineStr"/>
      <c r="D116" s="8" t="inlineStr"/>
      <c r="E116" s="8" t="inlineStr"/>
      <c r="F116" s="8" t="inlineStr"/>
      <c r="G116" s="18" t="inlineStr"/>
      <c r="H116" s="8" t="inlineStr"/>
      <c r="I116" s="8" t="inlineStr"/>
      <c r="J116" s="8" t="inlineStr"/>
      <c r="K116" s="8" t="inlineStr"/>
      <c r="L116" s="8" t="inlineStr"/>
    </row>
    <row r="117">
      <c r="A117" s="8" t="inlineStr"/>
      <c r="B117" s="17" t="inlineStr"/>
      <c r="C117" s="8" t="inlineStr"/>
      <c r="D117" s="8" t="inlineStr"/>
      <c r="E117" s="8" t="inlineStr"/>
      <c r="F117" s="8" t="inlineStr"/>
      <c r="G117" s="18" t="inlineStr"/>
      <c r="H117" s="8" t="inlineStr"/>
      <c r="I117" s="8" t="inlineStr"/>
      <c r="J117" s="8" t="inlineStr"/>
      <c r="K117" s="8" t="inlineStr"/>
      <c r="L117" s="8" t="inlineStr"/>
    </row>
    <row r="118">
      <c r="A118" s="8" t="inlineStr"/>
      <c r="B118" s="17" t="inlineStr"/>
      <c r="C118" s="8" t="inlineStr"/>
      <c r="D118" s="8" t="inlineStr"/>
      <c r="E118" s="8" t="inlineStr"/>
      <c r="F118" s="8" t="inlineStr"/>
      <c r="G118" s="18" t="inlineStr"/>
      <c r="H118" s="8" t="inlineStr"/>
      <c r="I118" s="8" t="inlineStr"/>
      <c r="J118" s="8" t="inlineStr"/>
      <c r="K118" s="8" t="inlineStr"/>
      <c r="L118" s="8" t="inlineStr"/>
    </row>
    <row r="119">
      <c r="A119" s="8" t="inlineStr"/>
      <c r="B119" s="17" t="inlineStr"/>
      <c r="C119" s="8" t="inlineStr"/>
      <c r="D119" s="8" t="inlineStr"/>
      <c r="E119" s="8" t="inlineStr"/>
      <c r="F119" s="8" t="inlineStr"/>
      <c r="G119" s="18" t="inlineStr"/>
      <c r="H119" s="8" t="inlineStr"/>
      <c r="I119" s="8" t="inlineStr"/>
      <c r="J119" s="8" t="inlineStr"/>
      <c r="K119" s="8" t="inlineStr"/>
      <c r="L119" s="8" t="inlineStr"/>
    </row>
    <row r="120">
      <c r="A120" s="8" t="inlineStr"/>
      <c r="B120" s="17" t="inlineStr"/>
      <c r="C120" s="8" t="inlineStr"/>
      <c r="D120" s="8" t="inlineStr"/>
      <c r="E120" s="8" t="inlineStr"/>
      <c r="F120" s="8" t="inlineStr"/>
      <c r="G120" s="18" t="inlineStr"/>
      <c r="H120" s="8" t="inlineStr"/>
      <c r="I120" s="8" t="inlineStr"/>
      <c r="J120" s="8" t="inlineStr"/>
      <c r="K120" s="8" t="inlineStr"/>
      <c r="L120" s="8" t="inlineStr"/>
    </row>
    <row r="121">
      <c r="A121" s="8" t="inlineStr"/>
      <c r="B121" s="17" t="inlineStr"/>
      <c r="C121" s="8" t="inlineStr"/>
      <c r="D121" s="8" t="inlineStr"/>
      <c r="E121" s="8" t="inlineStr"/>
      <c r="F121" s="8" t="inlineStr"/>
      <c r="G121" s="18" t="inlineStr"/>
      <c r="H121" s="8" t="inlineStr"/>
      <c r="I121" s="8" t="inlineStr"/>
      <c r="J121" s="8" t="inlineStr"/>
      <c r="K121" s="8" t="inlineStr"/>
      <c r="L121" s="8" t="inlineStr"/>
    </row>
    <row r="122">
      <c r="A122" s="8" t="inlineStr"/>
      <c r="B122" s="17" t="inlineStr"/>
      <c r="C122" s="8" t="inlineStr"/>
      <c r="D122" s="8" t="inlineStr"/>
      <c r="E122" s="8" t="inlineStr"/>
      <c r="F122" s="8" t="inlineStr"/>
      <c r="G122" s="18" t="inlineStr"/>
      <c r="H122" s="8" t="inlineStr"/>
      <c r="I122" s="8" t="inlineStr"/>
      <c r="J122" s="8" t="inlineStr"/>
      <c r="K122" s="8" t="inlineStr"/>
      <c r="L122" s="8" t="inlineStr"/>
    </row>
    <row r="123">
      <c r="A123" s="8" t="inlineStr"/>
      <c r="B123" s="17" t="inlineStr"/>
      <c r="C123" s="8" t="inlineStr"/>
      <c r="D123" s="8" t="inlineStr"/>
      <c r="E123" s="8" t="inlineStr"/>
      <c r="F123" s="8" t="inlineStr"/>
      <c r="G123" s="18" t="inlineStr"/>
      <c r="H123" s="8" t="inlineStr"/>
      <c r="I123" s="8" t="inlineStr"/>
      <c r="J123" s="8" t="inlineStr"/>
      <c r="K123" s="8" t="inlineStr"/>
      <c r="L123" s="8" t="inlineStr"/>
    </row>
    <row r="124">
      <c r="A124" s="8" t="inlineStr"/>
      <c r="B124" s="17" t="inlineStr"/>
      <c r="C124" s="8" t="inlineStr"/>
      <c r="D124" s="8" t="inlineStr"/>
      <c r="E124" s="8" t="inlineStr"/>
      <c r="F124" s="8" t="inlineStr"/>
      <c r="G124" s="18" t="inlineStr"/>
      <c r="H124" s="8" t="inlineStr"/>
      <c r="I124" s="8" t="inlineStr"/>
      <c r="J124" s="8" t="inlineStr"/>
      <c r="K124" s="8" t="inlineStr"/>
      <c r="L124" s="8" t="inlineStr"/>
    </row>
    <row r="125">
      <c r="A125" s="8" t="inlineStr"/>
      <c r="B125" s="17" t="inlineStr"/>
      <c r="C125" s="8" t="inlineStr"/>
      <c r="D125" s="8" t="inlineStr"/>
      <c r="E125" s="8" t="inlineStr"/>
      <c r="F125" s="8" t="inlineStr"/>
      <c r="G125" s="18" t="inlineStr"/>
      <c r="H125" s="8" t="inlineStr"/>
      <c r="I125" s="8" t="inlineStr"/>
      <c r="J125" s="8" t="inlineStr"/>
      <c r="K125" s="8" t="inlineStr"/>
      <c r="L125" s="8" t="inlineStr"/>
    </row>
    <row r="126">
      <c r="A126" s="8" t="inlineStr"/>
      <c r="B126" s="17" t="inlineStr"/>
      <c r="C126" s="8" t="inlineStr"/>
      <c r="D126" s="8" t="inlineStr"/>
      <c r="E126" s="8" t="inlineStr"/>
      <c r="F126" s="8" t="inlineStr"/>
      <c r="G126" s="18" t="inlineStr"/>
      <c r="H126" s="8" t="inlineStr"/>
      <c r="I126" s="8" t="inlineStr"/>
      <c r="J126" s="8" t="inlineStr"/>
      <c r="K126" s="8" t="inlineStr"/>
      <c r="L126" s="8" t="inlineStr"/>
    </row>
    <row r="127">
      <c r="A127" s="8" t="inlineStr"/>
      <c r="B127" s="17" t="inlineStr"/>
      <c r="C127" s="8" t="inlineStr"/>
      <c r="D127" s="8" t="inlineStr"/>
      <c r="E127" s="8" t="inlineStr"/>
      <c r="F127" s="8" t="inlineStr"/>
      <c r="G127" s="18" t="inlineStr"/>
      <c r="H127" s="8" t="inlineStr"/>
      <c r="I127" s="8" t="inlineStr"/>
      <c r="J127" s="8" t="inlineStr"/>
      <c r="K127" s="8" t="inlineStr"/>
      <c r="L127" s="8" t="inlineStr"/>
    </row>
    <row r="128">
      <c r="A128" s="8" t="inlineStr"/>
      <c r="B128" s="17" t="inlineStr"/>
      <c r="C128" s="8" t="inlineStr"/>
      <c r="D128" s="8" t="inlineStr"/>
      <c r="E128" s="8" t="inlineStr"/>
      <c r="F128" s="8" t="inlineStr"/>
      <c r="G128" s="18" t="inlineStr"/>
      <c r="H128" s="8" t="inlineStr"/>
      <c r="I128" s="8" t="inlineStr"/>
      <c r="J128" s="8" t="inlineStr"/>
      <c r="K128" s="8" t="inlineStr"/>
      <c r="L128" s="8" t="inlineStr"/>
    </row>
    <row r="129">
      <c r="A129" s="8" t="inlineStr"/>
      <c r="B129" s="17" t="inlineStr"/>
      <c r="C129" s="8" t="inlineStr"/>
      <c r="D129" s="8" t="inlineStr"/>
      <c r="E129" s="8" t="inlineStr"/>
      <c r="F129" s="8" t="inlineStr"/>
      <c r="G129" s="18" t="inlineStr"/>
      <c r="H129" s="8" t="inlineStr"/>
      <c r="I129" s="8" t="inlineStr"/>
      <c r="J129" s="8" t="inlineStr"/>
      <c r="K129" s="8" t="inlineStr"/>
      <c r="L129" s="8" t="inlineStr"/>
    </row>
    <row r="130">
      <c r="A130" s="8" t="inlineStr"/>
      <c r="B130" s="17" t="inlineStr"/>
      <c r="C130" s="8" t="inlineStr"/>
      <c r="D130" s="8" t="inlineStr"/>
      <c r="E130" s="8" t="inlineStr"/>
      <c r="F130" s="8" t="inlineStr"/>
      <c r="G130" s="18" t="inlineStr"/>
      <c r="H130" s="8" t="inlineStr"/>
      <c r="I130" s="8" t="inlineStr"/>
      <c r="J130" s="8" t="inlineStr"/>
      <c r="K130" s="8" t="inlineStr"/>
      <c r="L130" s="8" t="inlineStr"/>
    </row>
    <row r="131">
      <c r="A131" s="8" t="inlineStr"/>
      <c r="B131" s="17" t="inlineStr"/>
      <c r="C131" s="8" t="inlineStr"/>
      <c r="D131" s="8" t="inlineStr"/>
      <c r="E131" s="8" t="inlineStr"/>
      <c r="F131" s="8" t="inlineStr"/>
      <c r="G131" s="18" t="inlineStr"/>
      <c r="H131" s="8" t="inlineStr"/>
      <c r="I131" s="8" t="inlineStr"/>
      <c r="J131" s="8" t="inlineStr"/>
      <c r="K131" s="8" t="inlineStr"/>
      <c r="L131" s="8" t="inlineStr"/>
    </row>
    <row r="132">
      <c r="A132" s="8" t="inlineStr"/>
      <c r="B132" s="17" t="inlineStr"/>
      <c r="C132" s="8" t="inlineStr"/>
      <c r="D132" s="8" t="inlineStr"/>
      <c r="E132" s="8" t="inlineStr"/>
      <c r="F132" s="8" t="inlineStr"/>
      <c r="G132" s="18" t="inlineStr"/>
      <c r="H132" s="8" t="inlineStr"/>
      <c r="I132" s="8" t="inlineStr"/>
      <c r="J132" s="8" t="inlineStr"/>
      <c r="K132" s="8" t="inlineStr"/>
      <c r="L132" s="8" t="inlineStr"/>
    </row>
    <row r="133">
      <c r="A133" s="8" t="inlineStr"/>
      <c r="B133" s="17" t="inlineStr"/>
      <c r="C133" s="8" t="inlineStr"/>
      <c r="D133" s="8" t="inlineStr"/>
      <c r="E133" s="8" t="inlineStr"/>
      <c r="F133" s="8" t="inlineStr"/>
      <c r="G133" s="18" t="inlineStr"/>
      <c r="H133" s="8" t="inlineStr"/>
      <c r="I133" s="8" t="inlineStr"/>
      <c r="J133" s="8" t="inlineStr"/>
      <c r="K133" s="8" t="inlineStr"/>
      <c r="L133" s="8" t="inlineStr"/>
    </row>
    <row r="134">
      <c r="A134" s="8" t="inlineStr"/>
      <c r="B134" s="17" t="inlineStr"/>
      <c r="C134" s="8" t="inlineStr"/>
      <c r="D134" s="8" t="inlineStr"/>
      <c r="E134" s="8" t="inlineStr"/>
      <c r="F134" s="8" t="inlineStr"/>
      <c r="G134" s="18" t="inlineStr"/>
      <c r="H134" s="8" t="inlineStr"/>
      <c r="I134" s="8" t="inlineStr"/>
      <c r="J134" s="8" t="inlineStr"/>
      <c r="K134" s="8" t="inlineStr"/>
      <c r="L134" s="8" t="inlineStr"/>
    </row>
    <row r="135">
      <c r="A135" s="8" t="inlineStr"/>
      <c r="B135" s="17" t="inlineStr"/>
      <c r="C135" s="8" t="inlineStr"/>
      <c r="D135" s="8" t="inlineStr"/>
      <c r="E135" s="8" t="inlineStr"/>
      <c r="F135" s="8" t="inlineStr"/>
      <c r="G135" s="18" t="inlineStr"/>
      <c r="H135" s="8" t="inlineStr"/>
      <c r="I135" s="8" t="inlineStr"/>
      <c r="J135" s="8" t="inlineStr"/>
      <c r="K135" s="8" t="inlineStr"/>
      <c r="L135" s="8" t="inlineStr"/>
    </row>
    <row r="136">
      <c r="A136" s="8" t="inlineStr"/>
      <c r="B136" s="17" t="inlineStr"/>
      <c r="C136" s="8" t="inlineStr"/>
      <c r="D136" s="8" t="inlineStr"/>
      <c r="E136" s="8" t="inlineStr"/>
      <c r="F136" s="8" t="inlineStr"/>
      <c r="G136" s="18" t="inlineStr"/>
      <c r="H136" s="8" t="inlineStr"/>
      <c r="I136" s="8" t="inlineStr"/>
      <c r="J136" s="8" t="inlineStr"/>
      <c r="K136" s="8" t="inlineStr"/>
      <c r="L136" s="8" t="inlineStr"/>
    </row>
    <row r="137">
      <c r="A137" s="8" t="inlineStr"/>
      <c r="B137" s="17" t="inlineStr"/>
      <c r="C137" s="8" t="inlineStr"/>
      <c r="D137" s="8" t="inlineStr"/>
      <c r="E137" s="8" t="inlineStr"/>
      <c r="F137" s="8" t="inlineStr"/>
      <c r="G137" s="18" t="inlineStr"/>
      <c r="H137" s="8" t="inlineStr"/>
      <c r="I137" s="8" t="inlineStr"/>
      <c r="J137" s="8" t="inlineStr"/>
      <c r="K137" s="8" t="inlineStr"/>
      <c r="L137" s="8" t="inlineStr"/>
    </row>
    <row r="138">
      <c r="A138" s="8" t="inlineStr"/>
      <c r="B138" s="17" t="inlineStr"/>
      <c r="C138" s="8" t="inlineStr"/>
      <c r="D138" s="8" t="inlineStr"/>
      <c r="E138" s="8" t="inlineStr"/>
      <c r="F138" s="8" t="inlineStr"/>
      <c r="G138" s="18" t="inlineStr"/>
      <c r="H138" s="8" t="inlineStr"/>
      <c r="I138" s="8" t="inlineStr"/>
      <c r="J138" s="8" t="inlineStr"/>
      <c r="K138" s="8" t="inlineStr"/>
      <c r="L138" s="8" t="inlineStr"/>
    </row>
    <row r="139">
      <c r="A139" s="8" t="inlineStr"/>
      <c r="B139" s="17" t="inlineStr"/>
      <c r="C139" s="8" t="inlineStr"/>
      <c r="D139" s="8" t="inlineStr"/>
      <c r="E139" s="8" t="inlineStr"/>
      <c r="F139" s="8" t="inlineStr"/>
      <c r="G139" s="18" t="inlineStr"/>
      <c r="H139" s="8" t="inlineStr"/>
      <c r="I139" s="8" t="inlineStr"/>
      <c r="J139" s="8" t="inlineStr"/>
      <c r="K139" s="8" t="inlineStr"/>
      <c r="L139" s="8" t="inlineStr"/>
    </row>
    <row r="140">
      <c r="A140" s="8" t="inlineStr"/>
      <c r="B140" s="17" t="inlineStr"/>
      <c r="C140" s="8" t="inlineStr"/>
      <c r="D140" s="8" t="inlineStr"/>
      <c r="E140" s="8" t="inlineStr"/>
      <c r="F140" s="8" t="inlineStr"/>
      <c r="G140" s="18" t="inlineStr"/>
      <c r="H140" s="8" t="inlineStr"/>
      <c r="I140" s="8" t="inlineStr"/>
      <c r="J140" s="8" t="inlineStr"/>
      <c r="K140" s="8" t="inlineStr"/>
      <c r="L140" s="8" t="inlineStr"/>
    </row>
    <row r="141">
      <c r="A141" s="8" t="inlineStr"/>
      <c r="B141" s="17" t="inlineStr"/>
      <c r="C141" s="8" t="inlineStr"/>
      <c r="D141" s="8" t="inlineStr"/>
      <c r="E141" s="8" t="inlineStr"/>
      <c r="F141" s="8" t="inlineStr"/>
      <c r="G141" s="18" t="inlineStr"/>
      <c r="H141" s="8" t="inlineStr"/>
      <c r="I141" s="8" t="inlineStr"/>
      <c r="J141" s="8" t="inlineStr"/>
      <c r="K141" s="8" t="inlineStr"/>
      <c r="L141" s="8" t="inlineStr"/>
    </row>
    <row r="142">
      <c r="A142" s="8" t="inlineStr"/>
      <c r="B142" s="17" t="inlineStr"/>
      <c r="C142" s="8" t="inlineStr"/>
      <c r="D142" s="8" t="inlineStr"/>
      <c r="E142" s="8" t="inlineStr"/>
      <c r="F142" s="8" t="inlineStr"/>
      <c r="G142" s="18" t="inlineStr"/>
      <c r="H142" s="8" t="inlineStr"/>
      <c r="I142" s="8" t="inlineStr"/>
      <c r="J142" s="8" t="inlineStr"/>
      <c r="K142" s="8" t="inlineStr"/>
      <c r="L142" s="8" t="inlineStr"/>
    </row>
    <row r="143">
      <c r="A143" s="8" t="inlineStr"/>
      <c r="B143" s="17" t="inlineStr"/>
      <c r="C143" s="8" t="inlineStr"/>
      <c r="D143" s="8" t="inlineStr"/>
      <c r="E143" s="8" t="inlineStr"/>
      <c r="F143" s="8" t="inlineStr"/>
      <c r="G143" s="18" t="inlineStr"/>
      <c r="H143" s="8" t="inlineStr"/>
      <c r="I143" s="8" t="inlineStr"/>
      <c r="J143" s="8" t="inlineStr"/>
      <c r="K143" s="8" t="inlineStr"/>
      <c r="L143" s="8" t="inlineStr"/>
    </row>
    <row r="144">
      <c r="A144" s="8" t="inlineStr"/>
      <c r="B144" s="17" t="inlineStr"/>
      <c r="C144" s="8" t="inlineStr"/>
      <c r="D144" s="8" t="inlineStr"/>
      <c r="E144" s="8" t="inlineStr"/>
      <c r="F144" s="8" t="inlineStr"/>
      <c r="G144" s="18" t="inlineStr"/>
      <c r="H144" s="8" t="inlineStr"/>
      <c r="I144" s="8" t="inlineStr"/>
      <c r="J144" s="8" t="inlineStr"/>
      <c r="K144" s="8" t="inlineStr"/>
      <c r="L144" s="8" t="inlineStr"/>
    </row>
    <row r="145">
      <c r="A145" s="8" t="inlineStr"/>
      <c r="B145" s="17" t="inlineStr"/>
      <c r="C145" s="8" t="inlineStr"/>
      <c r="D145" s="8" t="inlineStr"/>
      <c r="E145" s="8" t="inlineStr"/>
      <c r="F145" s="8" t="inlineStr"/>
      <c r="G145" s="18" t="inlineStr"/>
      <c r="H145" s="8" t="inlineStr"/>
      <c r="I145" s="8" t="inlineStr"/>
      <c r="J145" s="8" t="inlineStr"/>
      <c r="K145" s="8" t="inlineStr"/>
      <c r="L145" s="8" t="inlineStr"/>
    </row>
    <row r="146">
      <c r="A146" s="8" t="inlineStr"/>
      <c r="B146" s="17" t="inlineStr"/>
      <c r="C146" s="8" t="inlineStr"/>
      <c r="D146" s="8" t="inlineStr"/>
      <c r="E146" s="8" t="inlineStr"/>
      <c r="F146" s="8" t="inlineStr"/>
      <c r="G146" s="18" t="inlineStr"/>
      <c r="H146" s="8" t="inlineStr"/>
      <c r="I146" s="8" t="inlineStr"/>
      <c r="J146" s="8" t="inlineStr"/>
      <c r="K146" s="8" t="inlineStr"/>
      <c r="L146" s="8" t="inlineStr"/>
    </row>
    <row r="147">
      <c r="A147" s="8" t="inlineStr"/>
      <c r="B147" s="17" t="inlineStr"/>
      <c r="C147" s="8" t="inlineStr"/>
      <c r="D147" s="8" t="inlineStr"/>
      <c r="E147" s="8" t="inlineStr"/>
      <c r="F147" s="8" t="inlineStr"/>
      <c r="G147" s="18" t="inlineStr"/>
      <c r="H147" s="8" t="inlineStr"/>
      <c r="I147" s="8" t="inlineStr"/>
      <c r="J147" s="8" t="inlineStr"/>
      <c r="K147" s="8" t="inlineStr"/>
      <c r="L147" s="8" t="inlineStr"/>
    </row>
    <row r="148">
      <c r="A148" s="8" t="inlineStr"/>
      <c r="B148" s="17" t="inlineStr"/>
      <c r="C148" s="8" t="inlineStr"/>
      <c r="D148" s="8" t="inlineStr"/>
      <c r="E148" s="8" t="inlineStr"/>
      <c r="F148" s="8" t="inlineStr"/>
      <c r="G148" s="18" t="inlineStr"/>
      <c r="H148" s="8" t="inlineStr"/>
      <c r="I148" s="8" t="inlineStr"/>
      <c r="J148" s="8" t="inlineStr"/>
      <c r="K148" s="8" t="inlineStr"/>
      <c r="L148" s="8" t="inlineStr"/>
    </row>
    <row r="149">
      <c r="A149" s="8" t="inlineStr"/>
      <c r="B149" s="17" t="inlineStr"/>
      <c r="C149" s="8" t="inlineStr"/>
      <c r="D149" s="8" t="inlineStr"/>
      <c r="E149" s="8" t="inlineStr"/>
      <c r="F149" s="8" t="inlineStr"/>
      <c r="G149" s="18" t="inlineStr"/>
      <c r="H149" s="8" t="inlineStr"/>
      <c r="I149" s="8" t="inlineStr"/>
      <c r="J149" s="8" t="inlineStr"/>
      <c r="K149" s="8" t="inlineStr"/>
      <c r="L149" s="8" t="inlineStr"/>
    </row>
    <row r="150">
      <c r="A150" s="8" t="inlineStr"/>
      <c r="B150" s="17" t="inlineStr"/>
      <c r="C150" s="8" t="inlineStr"/>
      <c r="D150" s="8" t="inlineStr"/>
      <c r="E150" s="8" t="inlineStr"/>
      <c r="F150" s="8" t="inlineStr"/>
      <c r="G150" s="18" t="inlineStr"/>
      <c r="H150" s="8" t="inlineStr"/>
      <c r="I150" s="8" t="inlineStr"/>
      <c r="J150" s="8" t="inlineStr"/>
      <c r="K150" s="8" t="inlineStr"/>
      <c r="L150" s="8" t="inlineStr"/>
    </row>
    <row r="151">
      <c r="A151" s="8" t="inlineStr"/>
      <c r="B151" s="17" t="inlineStr"/>
      <c r="C151" s="8" t="inlineStr"/>
      <c r="D151" s="8" t="inlineStr"/>
      <c r="E151" s="8" t="inlineStr"/>
      <c r="F151" s="8" t="inlineStr"/>
      <c r="G151" s="18" t="inlineStr"/>
      <c r="H151" s="8" t="inlineStr"/>
      <c r="I151" s="8" t="inlineStr"/>
      <c r="J151" s="8" t="inlineStr"/>
      <c r="K151" s="8" t="inlineStr"/>
      <c r="L151" s="8" t="inlineStr"/>
    </row>
    <row r="152">
      <c r="A152" s="8" t="inlineStr"/>
      <c r="B152" s="17" t="inlineStr"/>
      <c r="C152" s="8" t="inlineStr"/>
      <c r="D152" s="8" t="inlineStr"/>
      <c r="E152" s="8" t="inlineStr"/>
      <c r="F152" s="8" t="inlineStr"/>
      <c r="G152" s="18" t="inlineStr"/>
      <c r="H152" s="8" t="inlineStr"/>
      <c r="I152" s="8" t="inlineStr"/>
      <c r="J152" s="8" t="inlineStr"/>
      <c r="K152" s="8" t="inlineStr"/>
      <c r="L152" s="8" t="inlineStr"/>
    </row>
    <row r="153">
      <c r="A153" s="8" t="inlineStr"/>
      <c r="B153" s="17" t="inlineStr"/>
      <c r="C153" s="8" t="inlineStr"/>
      <c r="D153" s="8" t="inlineStr"/>
      <c r="E153" s="8" t="inlineStr"/>
      <c r="F153" s="8" t="inlineStr"/>
      <c r="G153" s="18" t="inlineStr"/>
      <c r="H153" s="8" t="inlineStr"/>
      <c r="I153" s="8" t="inlineStr"/>
      <c r="J153" s="8" t="inlineStr"/>
      <c r="K153" s="8" t="inlineStr"/>
      <c r="L153" s="8" t="inlineStr"/>
    </row>
    <row r="154">
      <c r="A154" s="8" t="inlineStr"/>
      <c r="B154" s="17" t="inlineStr"/>
      <c r="C154" s="8" t="inlineStr"/>
      <c r="D154" s="8" t="inlineStr"/>
      <c r="E154" s="8" t="inlineStr"/>
      <c r="F154" s="8" t="inlineStr"/>
      <c r="G154" s="18" t="inlineStr"/>
      <c r="H154" s="8" t="inlineStr"/>
      <c r="I154" s="8" t="inlineStr"/>
      <c r="J154" s="8" t="inlineStr"/>
      <c r="K154" s="8" t="inlineStr"/>
      <c r="L154" s="8" t="inlineStr"/>
    </row>
    <row r="155">
      <c r="A155" s="8" t="inlineStr"/>
      <c r="B155" s="17" t="inlineStr"/>
      <c r="C155" s="8" t="inlineStr"/>
      <c r="D155" s="8" t="inlineStr"/>
      <c r="E155" s="8" t="inlineStr"/>
      <c r="F155" s="8" t="inlineStr"/>
      <c r="G155" s="18" t="inlineStr"/>
      <c r="H155" s="8" t="inlineStr"/>
      <c r="I155" s="8" t="inlineStr"/>
      <c r="J155" s="8" t="inlineStr"/>
      <c r="K155" s="8" t="inlineStr"/>
      <c r="L155" s="8" t="inlineStr"/>
    </row>
    <row r="156">
      <c r="A156" s="8" t="inlineStr"/>
      <c r="B156" s="17" t="inlineStr"/>
      <c r="C156" s="8" t="inlineStr"/>
      <c r="D156" s="8" t="inlineStr"/>
      <c r="E156" s="8" t="inlineStr"/>
      <c r="F156" s="8" t="inlineStr"/>
      <c r="G156" s="18" t="inlineStr"/>
      <c r="H156" s="8" t="inlineStr"/>
      <c r="I156" s="8" t="inlineStr"/>
      <c r="J156" s="8" t="inlineStr"/>
      <c r="K156" s="8" t="inlineStr"/>
      <c r="L156" s="8" t="inlineStr"/>
    </row>
    <row r="157">
      <c r="A157" s="8" t="inlineStr"/>
      <c r="B157" s="17" t="inlineStr"/>
      <c r="C157" s="8" t="inlineStr"/>
      <c r="D157" s="8" t="inlineStr"/>
      <c r="E157" s="8" t="inlineStr"/>
      <c r="F157" s="8" t="inlineStr"/>
      <c r="G157" s="18" t="inlineStr"/>
      <c r="H157" s="8" t="inlineStr"/>
      <c r="I157" s="8" t="inlineStr"/>
      <c r="J157" s="8" t="inlineStr"/>
      <c r="K157" s="8" t="inlineStr"/>
      <c r="L157" s="8" t="inlineStr"/>
    </row>
    <row r="158">
      <c r="A158" s="8" t="inlineStr"/>
      <c r="B158" s="17" t="inlineStr"/>
      <c r="C158" s="8" t="inlineStr"/>
      <c r="D158" s="8" t="inlineStr"/>
      <c r="E158" s="8" t="inlineStr"/>
      <c r="F158" s="8" t="inlineStr"/>
      <c r="G158" s="18" t="inlineStr"/>
      <c r="H158" s="8" t="inlineStr"/>
      <c r="I158" s="8" t="inlineStr"/>
      <c r="J158" s="8" t="inlineStr"/>
      <c r="K158" s="8" t="inlineStr"/>
      <c r="L158" s="8" t="inlineStr"/>
    </row>
    <row r="159">
      <c r="A159" s="8" t="inlineStr"/>
      <c r="B159" s="17" t="inlineStr"/>
      <c r="C159" s="8" t="inlineStr"/>
      <c r="D159" s="8" t="inlineStr"/>
      <c r="E159" s="8" t="inlineStr"/>
      <c r="F159" s="8" t="inlineStr"/>
      <c r="G159" s="18" t="inlineStr"/>
      <c r="H159" s="8" t="inlineStr"/>
      <c r="I159" s="8" t="inlineStr"/>
      <c r="J159" s="8" t="inlineStr"/>
      <c r="K159" s="8" t="inlineStr"/>
      <c r="L159" s="8" t="inlineStr"/>
    </row>
    <row r="160">
      <c r="A160" s="8" t="inlineStr"/>
      <c r="B160" s="17" t="inlineStr"/>
      <c r="C160" s="8" t="inlineStr"/>
      <c r="D160" s="8" t="inlineStr"/>
      <c r="E160" s="8" t="inlineStr"/>
      <c r="F160" s="8" t="inlineStr"/>
      <c r="G160" s="18" t="inlineStr"/>
      <c r="H160" s="8" t="inlineStr"/>
      <c r="I160" s="8" t="inlineStr"/>
      <c r="J160" s="8" t="inlineStr"/>
      <c r="K160" s="8" t="inlineStr"/>
      <c r="L160" s="8" t="inlineStr"/>
    </row>
    <row r="161">
      <c r="A161" s="8" t="inlineStr"/>
      <c r="B161" s="17" t="inlineStr"/>
      <c r="C161" s="8" t="inlineStr"/>
      <c r="D161" s="8" t="inlineStr"/>
      <c r="E161" s="8" t="inlineStr"/>
      <c r="F161" s="8" t="inlineStr"/>
      <c r="G161" s="18" t="inlineStr"/>
      <c r="H161" s="8" t="inlineStr"/>
      <c r="I161" s="8" t="inlineStr"/>
      <c r="J161" s="8" t="inlineStr"/>
      <c r="K161" s="8" t="inlineStr"/>
      <c r="L161" s="8" t="inlineStr"/>
    </row>
    <row r="162">
      <c r="A162" s="8" t="inlineStr"/>
      <c r="B162" s="17" t="inlineStr"/>
      <c r="C162" s="8" t="inlineStr"/>
      <c r="D162" s="8" t="inlineStr"/>
      <c r="E162" s="8" t="inlineStr"/>
      <c r="F162" s="8" t="inlineStr"/>
      <c r="G162" s="18" t="inlineStr"/>
      <c r="H162" s="8" t="inlineStr"/>
      <c r="I162" s="8" t="inlineStr"/>
      <c r="J162" s="8" t="inlineStr"/>
      <c r="K162" s="8" t="inlineStr"/>
      <c r="L162" s="8" t="inlineStr"/>
    </row>
    <row r="163">
      <c r="A163" s="8" t="inlineStr"/>
      <c r="B163" s="17" t="inlineStr"/>
      <c r="C163" s="8" t="inlineStr"/>
      <c r="D163" s="8" t="inlineStr"/>
      <c r="E163" s="8" t="inlineStr"/>
      <c r="F163" s="8" t="inlineStr"/>
      <c r="G163" s="18" t="inlineStr"/>
      <c r="H163" s="8" t="inlineStr"/>
      <c r="I163" s="8" t="inlineStr"/>
      <c r="J163" s="8" t="inlineStr"/>
      <c r="K163" s="8" t="inlineStr"/>
      <c r="L163" s="8" t="inlineStr"/>
    </row>
    <row r="164">
      <c r="A164" s="8" t="inlineStr"/>
      <c r="B164" s="17" t="inlineStr"/>
      <c r="C164" s="8" t="inlineStr"/>
      <c r="D164" s="8" t="inlineStr"/>
      <c r="E164" s="8" t="inlineStr"/>
      <c r="F164" s="8" t="inlineStr"/>
      <c r="G164" s="18" t="inlineStr"/>
      <c r="H164" s="8" t="inlineStr"/>
      <c r="I164" s="8" t="inlineStr"/>
      <c r="J164" s="8" t="inlineStr"/>
      <c r="K164" s="8" t="inlineStr"/>
      <c r="L164" s="8" t="inlineStr"/>
    </row>
    <row r="165">
      <c r="A165" s="8" t="inlineStr"/>
      <c r="B165" s="17" t="inlineStr"/>
      <c r="C165" s="8" t="inlineStr"/>
      <c r="D165" s="8" t="inlineStr"/>
      <c r="E165" s="8" t="inlineStr"/>
      <c r="F165" s="8" t="inlineStr"/>
      <c r="G165" s="18" t="inlineStr"/>
      <c r="H165" s="8" t="inlineStr"/>
      <c r="I165" s="8" t="inlineStr"/>
      <c r="J165" s="8" t="inlineStr"/>
      <c r="K165" s="8" t="inlineStr"/>
      <c r="L165" s="8" t="inlineStr"/>
    </row>
    <row r="166">
      <c r="A166" s="8" t="inlineStr"/>
      <c r="B166" s="17" t="inlineStr"/>
      <c r="C166" s="8" t="inlineStr"/>
      <c r="D166" s="8" t="inlineStr"/>
      <c r="E166" s="8" t="inlineStr"/>
      <c r="F166" s="8" t="inlineStr"/>
      <c r="G166" s="18" t="inlineStr"/>
      <c r="H166" s="8" t="inlineStr"/>
      <c r="I166" s="8" t="inlineStr"/>
      <c r="J166" s="8" t="inlineStr"/>
      <c r="K166" s="8" t="inlineStr"/>
      <c r="L166" s="8" t="inlineStr"/>
    </row>
    <row r="167">
      <c r="A167" s="8" t="inlineStr"/>
      <c r="B167" s="17" t="inlineStr"/>
      <c r="C167" s="8" t="inlineStr"/>
      <c r="D167" s="8" t="inlineStr"/>
      <c r="E167" s="8" t="inlineStr"/>
      <c r="F167" s="8" t="inlineStr"/>
      <c r="G167" s="18" t="inlineStr"/>
      <c r="H167" s="8" t="inlineStr"/>
      <c r="I167" s="8" t="inlineStr"/>
      <c r="J167" s="8" t="inlineStr"/>
      <c r="K167" s="8" t="inlineStr"/>
      <c r="L167" s="8" t="inlineStr"/>
    </row>
    <row r="168">
      <c r="A168" s="8" t="inlineStr"/>
      <c r="B168" s="17" t="inlineStr"/>
      <c r="C168" s="8" t="inlineStr"/>
      <c r="D168" s="8" t="inlineStr"/>
      <c r="E168" s="8" t="inlineStr"/>
      <c r="F168" s="8" t="inlineStr"/>
      <c r="G168" s="18" t="inlineStr"/>
      <c r="H168" s="8" t="inlineStr"/>
      <c r="I168" s="8" t="inlineStr"/>
      <c r="J168" s="8" t="inlineStr"/>
      <c r="K168" s="8" t="inlineStr"/>
      <c r="L168" s="8" t="inlineStr"/>
    </row>
    <row r="169">
      <c r="A169" s="8" t="inlineStr"/>
      <c r="B169" s="17" t="inlineStr"/>
      <c r="C169" s="8" t="inlineStr"/>
      <c r="D169" s="8" t="inlineStr"/>
      <c r="E169" s="8" t="inlineStr"/>
      <c r="F169" s="8" t="inlineStr"/>
      <c r="G169" s="18" t="inlineStr"/>
      <c r="H169" s="8" t="inlineStr"/>
      <c r="I169" s="8" t="inlineStr"/>
      <c r="J169" s="8" t="inlineStr"/>
      <c r="K169" s="8" t="inlineStr"/>
      <c r="L169" s="8" t="inlineStr"/>
    </row>
    <row r="170">
      <c r="A170" s="8" t="inlineStr"/>
      <c r="B170" s="17" t="inlineStr"/>
      <c r="C170" s="8" t="inlineStr"/>
      <c r="D170" s="8" t="inlineStr"/>
      <c r="E170" s="8" t="inlineStr"/>
      <c r="F170" s="8" t="inlineStr"/>
      <c r="G170" s="18" t="inlineStr"/>
      <c r="H170" s="8" t="inlineStr"/>
      <c r="I170" s="8" t="inlineStr"/>
      <c r="J170" s="8" t="inlineStr"/>
      <c r="K170" s="8" t="inlineStr"/>
      <c r="L170" s="8" t="inlineStr"/>
    </row>
    <row r="171">
      <c r="A171" s="8" t="inlineStr"/>
      <c r="B171" s="17" t="inlineStr"/>
      <c r="C171" s="8" t="inlineStr"/>
      <c r="D171" s="8" t="inlineStr"/>
      <c r="E171" s="8" t="inlineStr"/>
      <c r="F171" s="8" t="inlineStr"/>
      <c r="G171" s="18" t="inlineStr"/>
      <c r="H171" s="8" t="inlineStr"/>
      <c r="I171" s="8" t="inlineStr"/>
      <c r="J171" s="8" t="inlineStr"/>
      <c r="K171" s="8" t="inlineStr"/>
      <c r="L171" s="8" t="inlineStr"/>
    </row>
    <row r="172">
      <c r="A172" s="8" t="inlineStr"/>
      <c r="B172" s="17" t="inlineStr"/>
      <c r="C172" s="8" t="inlineStr"/>
      <c r="D172" s="8" t="inlineStr"/>
      <c r="E172" s="8" t="inlineStr"/>
      <c r="F172" s="8" t="inlineStr"/>
      <c r="G172" s="18" t="inlineStr"/>
      <c r="H172" s="8" t="inlineStr"/>
      <c r="I172" s="8" t="inlineStr"/>
      <c r="J172" s="8" t="inlineStr"/>
      <c r="K172" s="8" t="inlineStr"/>
      <c r="L172" s="8" t="inlineStr"/>
    </row>
    <row r="173">
      <c r="A173" s="8" t="inlineStr"/>
      <c r="B173" s="17" t="inlineStr"/>
      <c r="C173" s="8" t="inlineStr"/>
      <c r="D173" s="8" t="inlineStr"/>
      <c r="E173" s="8" t="inlineStr"/>
      <c r="F173" s="8" t="inlineStr"/>
      <c r="G173" s="18" t="inlineStr"/>
      <c r="H173" s="8" t="inlineStr"/>
      <c r="I173" s="8" t="inlineStr"/>
      <c r="J173" s="8" t="inlineStr"/>
      <c r="K173" s="8" t="inlineStr"/>
      <c r="L173" s="8" t="inlineStr"/>
    </row>
    <row r="174">
      <c r="A174" s="8" t="inlineStr"/>
      <c r="B174" s="17" t="inlineStr"/>
      <c r="C174" s="8" t="inlineStr"/>
      <c r="D174" s="8" t="inlineStr"/>
      <c r="E174" s="8" t="inlineStr"/>
      <c r="F174" s="8" t="inlineStr"/>
      <c r="G174" s="18" t="inlineStr"/>
      <c r="H174" s="8" t="inlineStr"/>
      <c r="I174" s="8" t="inlineStr"/>
      <c r="J174" s="8" t="inlineStr"/>
      <c r="K174" s="8" t="inlineStr"/>
      <c r="L174" s="8" t="inlineStr"/>
    </row>
    <row r="175">
      <c r="A175" s="8" t="inlineStr"/>
      <c r="B175" s="17" t="inlineStr"/>
      <c r="C175" s="8" t="inlineStr"/>
      <c r="D175" s="8" t="inlineStr"/>
      <c r="E175" s="8" t="inlineStr"/>
      <c r="F175" s="8" t="inlineStr"/>
      <c r="G175" s="18" t="inlineStr"/>
      <c r="H175" s="8" t="inlineStr"/>
      <c r="I175" s="8" t="inlineStr"/>
      <c r="J175" s="8" t="inlineStr"/>
      <c r="K175" s="8" t="inlineStr"/>
      <c r="L175" s="8" t="inlineStr"/>
    </row>
    <row r="176">
      <c r="A176" s="8" t="inlineStr"/>
      <c r="B176" s="17" t="inlineStr"/>
      <c r="C176" s="8" t="inlineStr"/>
      <c r="D176" s="8" t="inlineStr"/>
      <c r="E176" s="8" t="inlineStr"/>
      <c r="F176" s="8" t="inlineStr"/>
      <c r="G176" s="18" t="inlineStr"/>
      <c r="H176" s="8" t="inlineStr"/>
      <c r="I176" s="8" t="inlineStr"/>
      <c r="J176" s="8" t="inlineStr"/>
      <c r="K176" s="8" t="inlineStr"/>
      <c r="L176" s="8" t="inlineStr"/>
    </row>
    <row r="177">
      <c r="A177" s="8" t="inlineStr"/>
      <c r="B177" s="17" t="inlineStr"/>
      <c r="C177" s="8" t="inlineStr"/>
      <c r="D177" s="8" t="inlineStr"/>
      <c r="E177" s="8" t="inlineStr"/>
      <c r="F177" s="8" t="inlineStr"/>
      <c r="G177" s="18" t="inlineStr"/>
      <c r="H177" s="8" t="inlineStr"/>
      <c r="I177" s="8" t="inlineStr"/>
      <c r="J177" s="8" t="inlineStr"/>
      <c r="K177" s="8" t="inlineStr"/>
      <c r="L177" s="8" t="inlineStr"/>
    </row>
    <row r="178">
      <c r="A178" s="8" t="inlineStr"/>
      <c r="B178" s="17" t="inlineStr"/>
      <c r="C178" s="8" t="inlineStr"/>
      <c r="D178" s="8" t="inlineStr"/>
      <c r="E178" s="8" t="inlineStr"/>
      <c r="F178" s="8" t="inlineStr"/>
      <c r="G178" s="18" t="inlineStr"/>
      <c r="H178" s="8" t="inlineStr"/>
      <c r="I178" s="8" t="inlineStr"/>
      <c r="J178" s="8" t="inlineStr"/>
      <c r="K178" s="8" t="inlineStr"/>
      <c r="L178" s="8" t="inlineStr"/>
    </row>
    <row r="179">
      <c r="A179" s="8" t="inlineStr"/>
      <c r="B179" s="17" t="inlineStr"/>
      <c r="C179" s="8" t="inlineStr"/>
      <c r="D179" s="8" t="inlineStr"/>
      <c r="E179" s="8" t="inlineStr"/>
      <c r="F179" s="8" t="inlineStr"/>
      <c r="G179" s="18" t="inlineStr"/>
      <c r="H179" s="8" t="inlineStr"/>
      <c r="I179" s="8" t="inlineStr"/>
      <c r="J179" s="8" t="inlineStr"/>
      <c r="K179" s="8" t="inlineStr"/>
      <c r="L179" s="8" t="inlineStr"/>
    </row>
    <row r="180">
      <c r="A180" s="8" t="inlineStr"/>
      <c r="B180" s="17" t="inlineStr"/>
      <c r="C180" s="8" t="inlineStr"/>
      <c r="D180" s="8" t="inlineStr"/>
      <c r="E180" s="8" t="inlineStr"/>
      <c r="F180" s="8" t="inlineStr"/>
      <c r="G180" s="18" t="inlineStr"/>
      <c r="H180" s="8" t="inlineStr"/>
      <c r="I180" s="8" t="inlineStr"/>
      <c r="J180" s="8" t="inlineStr"/>
      <c r="K180" s="8" t="inlineStr"/>
      <c r="L180" s="8" t="inlineStr"/>
    </row>
    <row r="181">
      <c r="A181" s="8" t="inlineStr"/>
      <c r="B181" s="17" t="inlineStr"/>
      <c r="C181" s="8" t="inlineStr"/>
      <c r="D181" s="8" t="inlineStr"/>
      <c r="E181" s="8" t="inlineStr"/>
      <c r="F181" s="8" t="inlineStr"/>
      <c r="G181" s="18" t="inlineStr"/>
      <c r="H181" s="8" t="inlineStr"/>
      <c r="I181" s="8" t="inlineStr"/>
      <c r="J181" s="8" t="inlineStr"/>
      <c r="K181" s="8" t="inlineStr"/>
      <c r="L181" s="8" t="inlineStr"/>
    </row>
    <row r="182">
      <c r="A182" s="8" t="inlineStr"/>
      <c r="B182" s="17" t="inlineStr"/>
      <c r="C182" s="8" t="inlineStr"/>
      <c r="D182" s="8" t="inlineStr"/>
      <c r="E182" s="8" t="inlineStr"/>
      <c r="F182" s="8" t="inlineStr"/>
      <c r="G182" s="18" t="inlineStr"/>
      <c r="H182" s="8" t="inlineStr"/>
      <c r="I182" s="8" t="inlineStr"/>
      <c r="J182" s="8" t="inlineStr"/>
      <c r="K182" s="8" t="inlineStr"/>
      <c r="L182" s="8" t="inlineStr"/>
    </row>
    <row r="183">
      <c r="A183" s="8" t="inlineStr"/>
      <c r="B183" s="17" t="inlineStr"/>
      <c r="C183" s="8" t="inlineStr"/>
      <c r="D183" s="8" t="inlineStr"/>
      <c r="E183" s="8" t="inlineStr"/>
      <c r="F183" s="8" t="inlineStr"/>
      <c r="G183" s="18" t="inlineStr"/>
      <c r="H183" s="8" t="inlineStr"/>
      <c r="I183" s="8" t="inlineStr"/>
      <c r="J183" s="8" t="inlineStr"/>
      <c r="K183" s="8" t="inlineStr"/>
      <c r="L183" s="8" t="inlineStr"/>
    </row>
    <row r="184">
      <c r="A184" s="8" t="inlineStr"/>
      <c r="B184" s="17" t="inlineStr"/>
      <c r="C184" s="8" t="inlineStr"/>
      <c r="D184" s="8" t="inlineStr"/>
      <c r="E184" s="8" t="inlineStr"/>
      <c r="F184" s="8" t="inlineStr"/>
      <c r="G184" s="18" t="inlineStr"/>
      <c r="H184" s="8" t="inlineStr"/>
      <c r="I184" s="8" t="inlineStr"/>
      <c r="J184" s="8" t="inlineStr"/>
      <c r="K184" s="8" t="inlineStr"/>
      <c r="L184" s="8" t="inlineStr"/>
    </row>
    <row r="185">
      <c r="A185" s="8" t="inlineStr"/>
      <c r="B185" s="17" t="inlineStr"/>
      <c r="C185" s="8" t="inlineStr"/>
      <c r="D185" s="8" t="inlineStr"/>
      <c r="E185" s="8" t="inlineStr"/>
      <c r="F185" s="8" t="inlineStr"/>
      <c r="G185" s="18" t="inlineStr"/>
      <c r="H185" s="8" t="inlineStr"/>
      <c r="I185" s="8" t="inlineStr"/>
      <c r="J185" s="8" t="inlineStr"/>
      <c r="K185" s="8" t="inlineStr"/>
      <c r="L185" s="8" t="inlineStr"/>
    </row>
    <row r="186">
      <c r="A186" s="8" t="inlineStr"/>
      <c r="B186" s="17" t="inlineStr"/>
      <c r="C186" s="8" t="inlineStr"/>
      <c r="D186" s="8" t="inlineStr"/>
      <c r="E186" s="8" t="inlineStr"/>
      <c r="F186" s="8" t="inlineStr"/>
      <c r="G186" s="18" t="inlineStr"/>
      <c r="H186" s="8" t="inlineStr"/>
      <c r="I186" s="8" t="inlineStr"/>
      <c r="J186" s="8" t="inlineStr"/>
      <c r="K186" s="8" t="inlineStr"/>
      <c r="L186" s="8" t="inlineStr"/>
    </row>
    <row r="187">
      <c r="A187" s="8" t="inlineStr"/>
      <c r="B187" s="17" t="inlineStr"/>
      <c r="C187" s="8" t="inlineStr"/>
      <c r="D187" s="8" t="inlineStr"/>
      <c r="E187" s="8" t="inlineStr"/>
      <c r="F187" s="8" t="inlineStr"/>
      <c r="G187" s="18" t="inlineStr"/>
      <c r="H187" s="8" t="inlineStr"/>
      <c r="I187" s="8" t="inlineStr"/>
      <c r="J187" s="8" t="inlineStr"/>
      <c r="K187" s="8" t="inlineStr"/>
      <c r="L187" s="8" t="inlineStr"/>
    </row>
    <row r="188">
      <c r="A188" s="8" t="inlineStr"/>
      <c r="B188" s="17" t="inlineStr"/>
      <c r="C188" s="8" t="inlineStr"/>
      <c r="D188" s="8" t="inlineStr"/>
      <c r="E188" s="8" t="inlineStr"/>
      <c r="F188" s="8" t="inlineStr"/>
      <c r="G188" s="18" t="inlineStr"/>
      <c r="H188" s="8" t="inlineStr"/>
      <c r="I188" s="8" t="inlineStr"/>
      <c r="J188" s="8" t="inlineStr"/>
      <c r="K188" s="8" t="inlineStr"/>
      <c r="L188" s="8" t="inlineStr"/>
    </row>
    <row r="189">
      <c r="A189" s="8" t="inlineStr"/>
      <c r="B189" s="17" t="inlineStr"/>
      <c r="C189" s="8" t="inlineStr"/>
      <c r="D189" s="8" t="inlineStr"/>
      <c r="E189" s="8" t="inlineStr"/>
      <c r="F189" s="8" t="inlineStr"/>
      <c r="G189" s="18" t="inlineStr"/>
      <c r="H189" s="8" t="inlineStr"/>
      <c r="I189" s="8" t="inlineStr"/>
      <c r="J189" s="8" t="inlineStr"/>
      <c r="K189" s="8" t="inlineStr"/>
      <c r="L189" s="8" t="inlineStr"/>
    </row>
    <row r="190">
      <c r="A190" s="8" t="inlineStr"/>
      <c r="B190" s="17" t="inlineStr"/>
      <c r="C190" s="8" t="inlineStr"/>
      <c r="D190" s="8" t="inlineStr"/>
      <c r="E190" s="8" t="inlineStr"/>
      <c r="F190" s="8" t="inlineStr"/>
      <c r="G190" s="18" t="inlineStr"/>
      <c r="H190" s="8" t="inlineStr"/>
      <c r="I190" s="8" t="inlineStr"/>
      <c r="J190" s="8" t="inlineStr"/>
      <c r="K190" s="8" t="inlineStr"/>
      <c r="L190" s="8" t="inlineStr"/>
    </row>
    <row r="191">
      <c r="A191" s="8" t="inlineStr"/>
      <c r="B191" s="17" t="inlineStr"/>
      <c r="C191" s="8" t="inlineStr"/>
      <c r="D191" s="8" t="inlineStr"/>
      <c r="E191" s="8" t="inlineStr"/>
      <c r="F191" s="8" t="inlineStr"/>
      <c r="G191" s="18" t="inlineStr"/>
      <c r="H191" s="8" t="inlineStr"/>
      <c r="I191" s="8" t="inlineStr"/>
      <c r="J191" s="8" t="inlineStr"/>
      <c r="K191" s="8" t="inlineStr"/>
      <c r="L191" s="8" t="inlineStr"/>
    </row>
    <row r="192">
      <c r="A192" s="8" t="inlineStr"/>
      <c r="B192" s="17" t="inlineStr"/>
      <c r="C192" s="8" t="inlineStr"/>
      <c r="D192" s="8" t="inlineStr"/>
      <c r="E192" s="8" t="inlineStr"/>
      <c r="F192" s="8" t="inlineStr"/>
      <c r="G192" s="18" t="inlineStr"/>
      <c r="H192" s="8" t="inlineStr"/>
      <c r="I192" s="8" t="inlineStr"/>
      <c r="J192" s="8" t="inlineStr"/>
      <c r="K192" s="8" t="inlineStr"/>
      <c r="L192" s="8" t="inlineStr"/>
    </row>
    <row r="193">
      <c r="A193" s="8" t="inlineStr"/>
      <c r="B193" s="17" t="inlineStr"/>
      <c r="C193" s="8" t="inlineStr"/>
      <c r="D193" s="8" t="inlineStr"/>
      <c r="E193" s="8" t="inlineStr"/>
      <c r="F193" s="8" t="inlineStr"/>
      <c r="G193" s="18" t="inlineStr"/>
      <c r="H193" s="8" t="inlineStr"/>
      <c r="I193" s="8" t="inlineStr"/>
      <c r="J193" s="8" t="inlineStr"/>
      <c r="K193" s="8" t="inlineStr"/>
      <c r="L193" s="8" t="inlineStr"/>
    </row>
    <row r="194">
      <c r="A194" s="8" t="inlineStr"/>
      <c r="B194" s="17" t="inlineStr"/>
      <c r="C194" s="8" t="inlineStr"/>
      <c r="D194" s="8" t="inlineStr"/>
      <c r="E194" s="8" t="inlineStr"/>
      <c r="F194" s="8" t="inlineStr"/>
      <c r="G194" s="18" t="inlineStr"/>
      <c r="H194" s="8" t="inlineStr"/>
      <c r="I194" s="8" t="inlineStr"/>
      <c r="J194" s="8" t="inlineStr"/>
      <c r="K194" s="8" t="inlineStr"/>
      <c r="L194" s="8" t="inlineStr"/>
    </row>
    <row r="195">
      <c r="A195" s="8" t="inlineStr"/>
      <c r="B195" s="17" t="inlineStr"/>
      <c r="C195" s="8" t="inlineStr"/>
      <c r="D195" s="8" t="inlineStr"/>
      <c r="E195" s="8" t="inlineStr"/>
      <c r="F195" s="8" t="inlineStr"/>
      <c r="G195" s="18" t="inlineStr"/>
      <c r="H195" s="8" t="inlineStr"/>
      <c r="I195" s="8" t="inlineStr"/>
      <c r="J195" s="8" t="inlineStr"/>
      <c r="K195" s="8" t="inlineStr"/>
      <c r="L195" s="8" t="inlineStr"/>
    </row>
    <row r="196">
      <c r="A196" s="8" t="inlineStr"/>
      <c r="B196" s="17" t="inlineStr"/>
      <c r="C196" s="8" t="inlineStr"/>
      <c r="D196" s="8" t="inlineStr"/>
      <c r="E196" s="8" t="inlineStr"/>
      <c r="F196" s="8" t="inlineStr"/>
      <c r="G196" s="18" t="inlineStr"/>
      <c r="H196" s="8" t="inlineStr"/>
      <c r="I196" s="8" t="inlineStr"/>
      <c r="J196" s="8" t="inlineStr"/>
      <c r="K196" s="8" t="inlineStr"/>
      <c r="L196" s="8" t="inlineStr"/>
    </row>
    <row r="197">
      <c r="A197" s="8" t="inlineStr"/>
      <c r="B197" s="17" t="inlineStr"/>
      <c r="C197" s="8" t="inlineStr"/>
      <c r="D197" s="8" t="inlineStr"/>
      <c r="E197" s="8" t="inlineStr"/>
      <c r="F197" s="8" t="inlineStr"/>
      <c r="G197" s="18" t="inlineStr"/>
      <c r="H197" s="8" t="inlineStr"/>
      <c r="I197" s="8" t="inlineStr"/>
      <c r="J197" s="8" t="inlineStr"/>
      <c r="K197" s="8" t="inlineStr"/>
      <c r="L197" s="8" t="inlineStr"/>
    </row>
    <row r="198">
      <c r="A198" s="8" t="inlineStr"/>
      <c r="B198" s="17" t="inlineStr"/>
      <c r="C198" s="8" t="inlineStr"/>
      <c r="D198" s="8" t="inlineStr"/>
      <c r="E198" s="8" t="inlineStr"/>
      <c r="F198" s="8" t="inlineStr"/>
      <c r="G198" s="18" t="inlineStr"/>
      <c r="H198" s="8" t="inlineStr"/>
      <c r="I198" s="8" t="inlineStr"/>
      <c r="J198" s="8" t="inlineStr"/>
      <c r="K198" s="8" t="inlineStr"/>
      <c r="L198" s="8" t="inlineStr"/>
    </row>
    <row r="199">
      <c r="A199" s="8" t="inlineStr"/>
      <c r="B199" s="17" t="inlineStr"/>
      <c r="C199" s="8" t="inlineStr"/>
      <c r="D199" s="8" t="inlineStr"/>
      <c r="E199" s="8" t="inlineStr"/>
      <c r="F199" s="8" t="inlineStr"/>
      <c r="G199" s="18" t="inlineStr"/>
      <c r="H199" s="8" t="inlineStr"/>
      <c r="I199" s="8" t="inlineStr"/>
      <c r="J199" s="8" t="inlineStr"/>
      <c r="K199" s="8" t="inlineStr"/>
      <c r="L199" s="8" t="inlineStr"/>
    </row>
    <row r="200">
      <c r="A200" s="8" t="inlineStr"/>
      <c r="B200" s="17" t="inlineStr"/>
      <c r="C200" s="8" t="inlineStr"/>
      <c r="D200" s="8" t="inlineStr"/>
      <c r="E200" s="8" t="inlineStr"/>
      <c r="F200" s="8" t="inlineStr"/>
      <c r="G200" s="18" t="inlineStr"/>
      <c r="H200" s="8" t="inlineStr"/>
      <c r="I200" s="8" t="inlineStr"/>
      <c r="J200" s="8" t="inlineStr"/>
      <c r="K200" s="8" t="inlineStr"/>
      <c r="L200" s="8" t="inlineStr"/>
    </row>
    <row r="201">
      <c r="A201" s="8" t="inlineStr"/>
      <c r="B201" s="17" t="inlineStr"/>
      <c r="C201" s="8" t="inlineStr"/>
      <c r="D201" s="8" t="inlineStr"/>
      <c r="E201" s="8" t="inlineStr"/>
      <c r="F201" s="8" t="inlineStr"/>
      <c r="G201" s="18" t="inlineStr"/>
      <c r="H201" s="8" t="inlineStr"/>
      <c r="I201" s="8" t="inlineStr"/>
      <c r="J201" s="8" t="inlineStr"/>
      <c r="K201" s="8" t="inlineStr"/>
      <c r="L201" s="8" t="inlineStr"/>
    </row>
    <row r="202">
      <c r="A202" s="8" t="inlineStr"/>
      <c r="B202" s="17" t="inlineStr"/>
      <c r="C202" s="8" t="inlineStr"/>
      <c r="D202" s="8" t="inlineStr"/>
      <c r="E202" s="8" t="inlineStr"/>
      <c r="F202" s="8" t="inlineStr"/>
      <c r="G202" s="18" t="inlineStr"/>
      <c r="H202" s="8" t="inlineStr"/>
      <c r="I202" s="8" t="inlineStr"/>
      <c r="J202" s="8" t="inlineStr"/>
      <c r="K202" s="8" t="inlineStr"/>
      <c r="L202" s="8" t="inlineStr"/>
    </row>
    <row r="203">
      <c r="A203" s="8" t="inlineStr"/>
      <c r="B203" s="17" t="inlineStr"/>
      <c r="C203" s="8" t="inlineStr"/>
      <c r="D203" s="8" t="inlineStr"/>
      <c r="E203" s="8" t="inlineStr"/>
      <c r="F203" s="8" t="inlineStr"/>
      <c r="G203" s="18" t="inlineStr"/>
      <c r="H203" s="8" t="inlineStr"/>
      <c r="I203" s="8" t="inlineStr"/>
      <c r="J203" s="8" t="inlineStr"/>
      <c r="K203" s="8" t="inlineStr"/>
      <c r="L203" s="8" t="inlineStr"/>
    </row>
    <row r="204">
      <c r="A204" s="8" t="inlineStr"/>
      <c r="B204" s="17" t="inlineStr"/>
      <c r="C204" s="8" t="inlineStr"/>
      <c r="D204" s="8" t="inlineStr"/>
      <c r="E204" s="8" t="inlineStr"/>
      <c r="F204" s="8" t="inlineStr"/>
      <c r="G204" s="18" t="inlineStr"/>
      <c r="H204" s="8" t="inlineStr"/>
      <c r="I204" s="8" t="inlineStr"/>
      <c r="J204" s="8" t="inlineStr"/>
      <c r="K204" s="8" t="inlineStr"/>
      <c r="L204" s="8" t="inlineStr"/>
    </row>
    <row r="205">
      <c r="A205" s="8" t="inlineStr"/>
      <c r="B205" s="17" t="inlineStr"/>
      <c r="C205" s="8" t="inlineStr"/>
      <c r="D205" s="8" t="inlineStr"/>
      <c r="E205" s="8" t="inlineStr"/>
      <c r="F205" s="8" t="inlineStr"/>
      <c r="G205" s="18" t="inlineStr"/>
      <c r="H205" s="8" t="inlineStr"/>
      <c r="I205" s="8" t="inlineStr"/>
      <c r="J205" s="8" t="inlineStr"/>
      <c r="K205" s="8" t="inlineStr"/>
      <c r="L205" s="8" t="inlineStr"/>
    </row>
    <row r="206">
      <c r="A206" s="8" t="inlineStr"/>
      <c r="B206" s="17" t="inlineStr"/>
      <c r="C206" s="8" t="inlineStr"/>
      <c r="D206" s="8" t="inlineStr"/>
      <c r="E206" s="8" t="inlineStr"/>
      <c r="F206" s="8" t="inlineStr"/>
      <c r="G206" s="18" t="inlineStr"/>
      <c r="H206" s="8" t="inlineStr"/>
      <c r="I206" s="8" t="inlineStr"/>
      <c r="J206" s="8" t="inlineStr"/>
      <c r="K206" s="8" t="inlineStr"/>
      <c r="L206" s="8" t="inlineStr"/>
    </row>
    <row r="207">
      <c r="A207" s="8" t="inlineStr"/>
      <c r="B207" s="17" t="inlineStr"/>
      <c r="C207" s="8" t="inlineStr"/>
      <c r="D207" s="8" t="inlineStr"/>
      <c r="E207" s="8" t="inlineStr"/>
      <c r="F207" s="8" t="inlineStr"/>
      <c r="G207" s="18" t="inlineStr"/>
      <c r="H207" s="8" t="inlineStr"/>
      <c r="I207" s="8" t="inlineStr"/>
      <c r="J207" s="8" t="inlineStr"/>
      <c r="K207" s="8" t="inlineStr"/>
      <c r="L207" s="8" t="inlineStr"/>
    </row>
    <row r="208">
      <c r="A208" s="8" t="inlineStr"/>
      <c r="B208" s="17" t="inlineStr"/>
      <c r="C208" s="8" t="inlineStr"/>
      <c r="D208" s="8" t="inlineStr"/>
      <c r="E208" s="8" t="inlineStr"/>
      <c r="F208" s="8" t="inlineStr"/>
      <c r="G208" s="18" t="inlineStr"/>
      <c r="H208" s="8" t="inlineStr"/>
      <c r="I208" s="8" t="inlineStr"/>
      <c r="J208" s="8" t="inlineStr"/>
      <c r="K208" s="8" t="inlineStr"/>
      <c r="L208" s="8" t="inlineStr"/>
    </row>
  </sheetData>
  <autoFilter ref="A8:L208"/>
  <mergeCells count="2">
    <mergeCell ref="A2:L2"/>
    <mergeCell ref="A1:L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8" customWidth="1" min="3" max="3"/>
    <col width="18" customWidth="1" min="4" max="4"/>
    <col width="40" customWidth="1" min="5" max="5"/>
    <col width="40" customWidth="1" min="6" max="6"/>
  </cols>
  <sheetData>
    <row r="1" ht="28" customHeight="1">
      <c r="A1" s="1" t="inlineStr">
        <is>
          <t>PROCEDURY DOBARWIANIA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</row>
    <row r="2" ht="18" customHeight="1">
      <c r="A2" s="3" t="inlineStr">
        <is>
          <t>Źródło: nexa-autocolor-2k-tint-chart-guide.pdf (opisy działania Autocolor przetłumaczone na PL) oraz Duxone - Tint Descriptions - PL.pdf (kopie w data/backup).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</row>
    <row r="4">
      <c r="A4" s="34" t="inlineStr">
        <is>
          <t>Wybierz system</t>
        </is>
      </c>
      <c r="B4" s="8" t="inlineStr">
        <is>
          <t>AUTOCOLOR</t>
        </is>
      </c>
    </row>
    <row r="5">
      <c r="A5" s="34" t="inlineStr">
        <is>
          <t>Wybierz pigment</t>
        </is>
      </c>
      <c r="B5" s="8" t="n"/>
    </row>
    <row r="6">
      <c r="A6" t="inlineStr">
        <is>
          <t>Klucz</t>
        </is>
      </c>
      <c r="B6" s="14">
        <f>IF(OR(B4="",B5=""),"",B4&amp;"|"&amp;IF(ISNUMBER(FIND(" | ",B5)),TRIM(LEFT(B5,FIND(" | ",B5)-1)),B5))</f>
        <v/>
      </c>
      <c r="C6">
        <f>IF(B5="","","")</f>
        <v/>
      </c>
    </row>
    <row r="7">
      <c r="A7" s="34" t="inlineStr">
        <is>
          <t>Nazwa</t>
        </is>
      </c>
      <c r="B7" s="14">
        <f>IF(B6="", "", IFERROR(VLOOKUP(B6,PigmentyKlucz,4,FALSE),"BRAK W BAZIE"))</f>
        <v/>
      </c>
      <c r="C7" s="12" t="n"/>
      <c r="D7" s="12" t="n"/>
      <c r="E7" s="12" t="n"/>
      <c r="F7" s="13" t="n"/>
    </row>
    <row r="8">
      <c r="A8" s="34" t="inlineStr">
        <is>
          <t>Opis działania (PL)</t>
        </is>
      </c>
      <c r="B8" s="38">
        <f>IF(B6="", "", IFERROR(VLOOKUP(B6,PigmentyKlucz,9,FALSE),""))</f>
        <v/>
      </c>
      <c r="C8" s="39" t="n"/>
      <c r="D8" s="39" t="n"/>
      <c r="E8" s="39" t="n"/>
      <c r="F8" s="40" t="n"/>
    </row>
    <row r="9">
      <c r="B9" s="41" t="n"/>
      <c r="F9" s="42" t="n"/>
    </row>
    <row r="10">
      <c r="B10" s="41" t="n"/>
      <c r="F10" s="42" t="n"/>
    </row>
    <row r="11">
      <c r="B11" s="41" t="n"/>
      <c r="F11" s="42" t="n"/>
    </row>
    <row r="12">
      <c r="B12" s="41" t="n"/>
      <c r="F12" s="42" t="n"/>
    </row>
    <row r="13">
      <c r="B13" s="41" t="n"/>
      <c r="F13" s="42" t="n"/>
    </row>
    <row r="14">
      <c r="B14" s="43" t="n"/>
      <c r="C14" s="44" t="n"/>
      <c r="D14" s="44" t="n"/>
      <c r="E14" s="44" t="n"/>
      <c r="F14" s="45" t="n"/>
    </row>
    <row r="16">
      <c r="A16" s="5" t="inlineStr">
        <is>
          <t>REGUŁY AUTOCOLOR (PDF TINTING GUIDE)</t>
        </is>
      </c>
    </row>
    <row r="17" ht="48" customHeight="1">
      <c r="A17" s="34" t="inlineStr">
        <is>
          <t>AC-R01</t>
        </is>
      </c>
      <c r="B17" s="46" t="inlineStr">
        <is>
          <t>Face / Flop / Tone</t>
        </is>
      </c>
      <c r="C17" s="47" t="inlineStr">
        <is>
          <t>ŚWIATŁO (FACE) — kąt mocno zależny od metalików/pereł. FLOP (CIEŃ) — kąt zwykle ciemniejszy, zależny od tonerów konwencjonalnych. TONE (ODCIEŃ) — odcień względem sąsiedniej rodziny barw.</t>
        </is>
      </c>
    </row>
    <row r="18" ht="48" customHeight="1">
      <c r="A18" s="34" t="inlineStr">
        <is>
          <t>AC-R02</t>
        </is>
      </c>
      <c r="B18" s="46" t="inlineStr">
        <is>
          <t>Tonery RT (reduced tone) — próg 10%</t>
        </is>
      </c>
      <c r="C18" s="47" t="inlineStr">
        <is>
          <t>Jeżeli udział tonera RT przekracza 10%, zastąp odpowiednikiem pełnej mocy: P420-908RT → P420-907; P420-960RT → P429-976; P420-910RT → P425-957; P420-902RT → P425-900; P420-904RT → P425-948.</t>
        </is>
      </c>
    </row>
    <row r="19" ht="48" customHeight="1">
      <c r="A19" s="34" t="inlineStr">
        <is>
          <t>AC-R03</t>
        </is>
      </c>
      <c r="B19" s="46" t="inlineStr">
        <is>
          <t>P429-980 Speed Red</t>
        </is>
      </c>
      <c r="C19" s="47" t="inlineStr">
        <is>
          <t>Czysta czerwień do kolorów solid, głównie powyżej 20% udziału.</t>
        </is>
      </c>
    </row>
    <row r="20" ht="48" customHeight="1">
      <c r="A20" s="34" t="inlineStr">
        <is>
          <t>AC-R04</t>
        </is>
      </c>
      <c r="B20" s="46" t="inlineStr">
        <is>
          <t>P425-941 Strong Red</t>
        </is>
      </c>
      <c r="C20" s="47" t="inlineStr">
        <is>
          <t>Czysta, wysokowydajna czerwień — głównie kolory solid.</t>
        </is>
      </c>
    </row>
    <row r="21" ht="48" customHeight="1">
      <c r="A21" s="34" t="inlineStr">
        <is>
          <t>AC-R05</t>
        </is>
      </c>
      <c r="B21" s="46" t="inlineStr">
        <is>
          <t>P425-922 Lagoon Blue</t>
        </is>
      </c>
      <c r="C21" s="47" t="inlineStr">
        <is>
          <t>Zielonawy niebieski z zielonym flopem — do receptur metalik/perła.</t>
        </is>
      </c>
    </row>
    <row r="22" ht="48" customHeight="1">
      <c r="A22" s="34" t="inlineStr">
        <is>
          <t>AC-R06</t>
        </is>
      </c>
      <c r="B22" s="46" t="inlineStr">
        <is>
          <t>P426-HE02 / kontrola flopu</t>
        </is>
      </c>
      <c r="C22" s="47" t="inlineStr">
        <is>
          <t>W PDF: Blue Frost — dodaje żółć na świetle (face) i jasny błękit na flopie w metalikach. W katalogu ODS ten sam kod ma inną nazwę — weryfikuj przed użyciem (status KOLIZJA jeśli wykryta).</t>
        </is>
      </c>
    </row>
    <row r="24">
      <c r="A24" s="5" t="inlineStr">
        <is>
          <t>REGUŁY DUXONE (PDF TINT DESCRIPTIONS PL)</t>
        </is>
      </c>
    </row>
    <row r="25" ht="56" customHeight="1">
      <c r="A25" s="34" t="inlineStr">
        <is>
          <t>DX-R01</t>
        </is>
      </c>
      <c r="B25" s="46" t="inlineStr">
        <is>
          <t>Korygowanie — zasada ogólna</t>
        </is>
      </c>
      <c r="C25" s="47" t="inlineStr">
        <is>
          <t>Wizualne korygowanie koloru (mokre korygowanie) jest zalecane tylko przy nieudanych wynikach w narzędziach kolorystycznych. Zawsze używaj komponentów już obecnych w formule. Ograniczaj liczbę komponentów branych do korekty.</t>
        </is>
      </c>
    </row>
    <row r="26" ht="56" customHeight="1">
      <c r="A26" s="34" t="inlineStr">
        <is>
          <t>DX-R02</t>
        </is>
      </c>
      <c r="B26" s="46" t="inlineStr">
        <is>
          <t>Kąty obserwacji</t>
        </is>
      </c>
      <c r="C26" s="47" t="inlineStr">
        <is>
          <t>Kolor obserwuje się pod 3 kątami: 15° (pod kątem), 45° (na wprost), 110° (pod dużym kątem / flop).</t>
        </is>
      </c>
    </row>
    <row r="27" ht="56" customHeight="1">
      <c r="A27" s="34" t="inlineStr">
        <is>
          <t>DX-R03</t>
        </is>
      </c>
      <c r="B27" s="46" t="inlineStr">
        <is>
          <t>Aluminium — rozjaśnianie</t>
        </is>
      </c>
      <c r="C27" s="47" t="inlineStr">
        <is>
          <t>Aby uzyskać jaśniejszy kolor aluminium, nie używaj białego komponentu — korzystaj z komponentów aluminium. Biały rozjaśnia flop (110°) i ściemnia 15° oraz 45°. Drobniejsze ziarno = jaśniejsze pod 110°. Grubsze ziarno = ciemniejsze pod 110°.</t>
        </is>
      </c>
    </row>
    <row r="28" ht="56" customHeight="1">
      <c r="A28" s="34" t="inlineStr">
        <is>
          <t>DX-R04</t>
        </is>
      </c>
      <c r="B28" s="46" t="inlineStr">
        <is>
          <t>Perły</t>
        </is>
      </c>
      <c r="C28" s="47" t="inlineStr">
        <is>
          <t>Większość pereł jest transparentna. Zwiększają nasycenie kolorów z efektem. Zaleca się perły już obecne w formule. Biała perła rozjaśnia kolory perłowe. Kolor nie powstaje wyłącznie z pereł (wyjątek: tri-stage — warstwa efektowa).</t>
        </is>
      </c>
    </row>
    <row r="29" ht="56" customHeight="1">
      <c r="A29" s="34" t="inlineStr">
        <is>
          <t>DX-R05</t>
        </is>
      </c>
      <c r="B29" s="46" t="inlineStr">
        <is>
          <t>DX5136 Metallic Adjuster</t>
        </is>
      </c>
      <c r="C29" s="47" t="inlineStr">
        <is>
          <t>Tylko kolory metaliczne i perłowe. Ściemia NRSP (15°), rozjaśnia flop i ziarno. Maks. 12% masy receptury.</t>
        </is>
      </c>
    </row>
    <row r="30" ht="56" customHeight="1">
      <c r="A30" s="34" t="inlineStr">
        <is>
          <t>DX-R06</t>
        </is>
      </c>
      <c r="B30" s="46" t="inlineStr">
        <is>
          <t>DX5134 Effect White</t>
        </is>
      </c>
      <c r="C30" s="47" t="inlineStr">
        <is>
          <t>W kolorach z efektem: bardziej żółty pod 15°, bardziej niebieski i jaśniejszy na flopie. Maks. 40% masy receptury.</t>
        </is>
      </c>
    </row>
    <row r="31" ht="56" customHeight="1">
      <c r="A31" s="34" t="inlineStr">
        <is>
          <t>DX-R07</t>
        </is>
      </c>
      <c r="B31" s="46" t="inlineStr">
        <is>
          <t>Biel DX5130 ↔ DX0132</t>
        </is>
      </c>
      <c r="C31" s="47" t="inlineStr">
        <is>
          <t>Zamień DX5130 na DX0132 gdy stężenie DX5130 &lt; 0,45% masy; gdy DX0132 &gt; 8%, zastosuj DX5130. Przelicznik: DX5130 × 10 = DX0132.</t>
        </is>
      </c>
    </row>
    <row r="32" ht="56" customHeight="1">
      <c r="A32" s="34" t="inlineStr">
        <is>
          <t>DX-R08</t>
        </is>
      </c>
      <c r="B32" s="46" t="inlineStr">
        <is>
          <t>Czerń DX5110 ↔ DX5111 / DX0112</t>
        </is>
      </c>
      <c r="C32" s="47" t="inlineStr">
        <is>
          <t>DX5111 jest mocniejszy (niebieski odcień); DX5110 × 2 = DX5111. DX5110 (żółte zabarwienie) ↔ DX0112: zamiana gdy DX5110 &lt; 0,45%; gdy DX0112 &gt; 8% wróć do DX5110. Przelicznik DX5110 × 10 = DX0112.</t>
        </is>
      </c>
    </row>
    <row r="33" ht="56" customHeight="1">
      <c r="A33" s="34" t="inlineStr">
        <is>
          <t>DX-R09</t>
        </is>
      </c>
      <c r="B33" s="46" t="inlineStr">
        <is>
          <t>Czerwień DX5145 zamiast DX5146/DX5189</t>
        </is>
      </c>
      <c r="C33" s="47" t="inlineStr">
        <is>
          <t>Jeśli zamieniasz DX5146 lub DX5189 na DX5145: zmniejsz stężenie o 5% i zwiększ DX5110 o 10%.</t>
        </is>
      </c>
    </row>
    <row r="34" ht="56" customHeight="1">
      <c r="A34" s="34" t="inlineStr">
        <is>
          <t>DX-R10</t>
        </is>
      </c>
      <c r="B34" s="46" t="inlineStr">
        <is>
          <t>Próbka koloru</t>
        </is>
      </c>
      <c r="C34" s="47" t="inlineStr">
        <is>
          <t>Panel min. 10×15 cm, pistolet w pełni otwarty, 50% zakładka, suszenie max 40°C, ocena dopiero po bezbarwnym. Nie zmieniaj kształtu natrysku, nie odmuchuj, nie aplikuj zbyt mokro.</t>
        </is>
      </c>
    </row>
  </sheetData>
  <mergeCells count="22">
    <mergeCell ref="A16:F16"/>
    <mergeCell ref="B7:F7"/>
    <mergeCell ref="C17:F17"/>
    <mergeCell ref="C32:F32"/>
    <mergeCell ref="C19:F19"/>
    <mergeCell ref="C28:F28"/>
    <mergeCell ref="A2:F2"/>
    <mergeCell ref="C18:F18"/>
    <mergeCell ref="C34:F34"/>
    <mergeCell ref="C30:F30"/>
    <mergeCell ref="C33:F33"/>
    <mergeCell ref="B8:F14"/>
    <mergeCell ref="C20:F20"/>
    <mergeCell ref="C26:F26"/>
    <mergeCell ref="C29:F29"/>
    <mergeCell ref="C25:F25"/>
    <mergeCell ref="C22:F22"/>
    <mergeCell ref="A24:F24"/>
    <mergeCell ref="C31:F31"/>
    <mergeCell ref="A1:F1"/>
    <mergeCell ref="C21:F21"/>
    <mergeCell ref="C27:F27"/>
  </mergeCells>
  <dataValidations count="2">
    <dataValidation sqref="B4" showDropDown="0" showInputMessage="1" showErrorMessage="1" allowBlank="1" errorTitle="Niedozwolona wartość" error="Wybierz wartość z listy." promptTitle="Wybór" prompt="Wybierz z listy rozwijanej." type="list">
      <formula1>=Lista_Systemow</formula1>
    </dataValidation>
    <dataValidation sqref="B5" showDropDown="0" showInputMessage="1" showErrorMessage="0" allowBlank="1" promptTitle="NR PIGMENTU" prompt="Wybierz pigment z listy (baza = SYSTEM w tym wierszu). Nie wpisuj kodu ręcznie." type="list">
      <formula1>=INDIRECT(IF($B4="DUXONE",LISTY!$K$9,LISTY!$J$9))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S115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4" customWidth="1" min="4" max="4"/>
    <col width="18" customWidth="1" min="5" max="5"/>
    <col width="12" customWidth="1" min="6" max="6"/>
    <col width="36" customWidth="1" min="7" max="7"/>
    <col width="36" customWidth="1" min="8" max="8"/>
    <col width="36" customWidth="1" min="9" max="9"/>
    <col width="55" customWidth="1" min="10" max="10"/>
    <col width="12" customWidth="1" min="11" max="11"/>
    <col width="18" customWidth="1" min="12" max="12"/>
    <col width="16" customWidth="1" min="13" max="13"/>
    <col width="40" customWidth="1" min="14" max="14"/>
    <col width="16" customWidth="1" min="15" max="15"/>
    <col width="14" customWidth="1" min="16" max="16"/>
    <col width="16" customWidth="1" min="17" max="17"/>
    <col width="50" customWidth="1" min="18" max="18"/>
    <col width="55" customWidth="1" min="19" max="19"/>
  </cols>
  <sheetData>
    <row r="1" ht="28" customHeight="1">
      <c r="A1" s="1" t="inlineStr">
        <is>
          <t>BAZA AUTOCOLOR — Nexa Autocolor 2K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</row>
    <row r="2" ht="18" customHeight="1">
      <c r="A2" s="3" t="inlineStr">
        <is>
          <t>Kopia robocza bazy. Oryginalne pliki ODS/PDF nie są zmieniane. Klucz = SYSTEM|NR_PIGMENTU. AUTOCOLOR: OPIS_DOBARWIANIA i OPIS_DZIALANIA_PL po polsku (tint chart); nazwy katalogowe EN. DUXONE: opisy z PDF PL.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</row>
    <row r="8">
      <c r="A8" s="26" t="inlineStr">
        <is>
          <t>KLUCZ</t>
        </is>
      </c>
      <c r="B8" s="26" t="inlineStr">
        <is>
          <t>SYSTEM</t>
        </is>
      </c>
      <c r="C8" s="26" t="inlineStr">
        <is>
          <t>NR_PIGMENTU</t>
        </is>
      </c>
      <c r="D8" s="26" t="inlineStr">
        <is>
          <t>NR_BAZOWY</t>
        </is>
      </c>
      <c r="E8" s="26" t="inlineStr">
        <is>
          <t>KOD_E</t>
        </is>
      </c>
      <c r="F8" s="26" t="inlineStr">
        <is>
          <t>CZYNNIK_E</t>
        </is>
      </c>
      <c r="G8" s="26" t="inlineStr">
        <is>
          <t>NAZWA</t>
        </is>
      </c>
      <c r="H8" s="26" t="inlineStr">
        <is>
          <t>NAZWA_ODS</t>
        </is>
      </c>
      <c r="I8" s="26" t="inlineStr">
        <is>
          <t>NAZWA_PDF</t>
        </is>
      </c>
      <c r="J8" s="26" t="inlineStr">
        <is>
          <t>OPIS_DOBARWIANIA</t>
        </is>
      </c>
      <c r="K8" s="26" t="inlineStr">
        <is>
          <t>JEDNOSTKA</t>
        </is>
      </c>
      <c r="L8" s="26" t="inlineStr">
        <is>
          <t>KATEGORIA</t>
        </is>
      </c>
      <c r="M8" s="26" t="inlineStr">
        <is>
          <t>STATUS_DANYCH</t>
        </is>
      </c>
      <c r="N8" s="26" t="inlineStr">
        <is>
          <t>UWAGI_DANYCH</t>
        </is>
      </c>
      <c r="O8" s="26" t="inlineStr">
        <is>
          <t>ZRODLO_NAZWY</t>
        </is>
      </c>
      <c r="P8" s="26" t="inlineStr">
        <is>
          <t>W_KATALOGU_ODS</t>
        </is>
      </c>
      <c r="Q8" s="26" t="inlineStr">
        <is>
          <t>W_SZABLONIE_ODS</t>
        </is>
      </c>
      <c r="R8" s="26" t="inlineStr">
        <is>
          <t>OPIS_EN</t>
        </is>
      </c>
      <c r="S8" s="26" t="inlineStr">
        <is>
          <t>OPIS_DZIALANIA_PL</t>
        </is>
      </c>
    </row>
    <row r="9" ht="48" customHeight="1">
      <c r="A9" s="48" t="inlineStr">
        <is>
          <t>AUTOCOLOR|P192-475</t>
        </is>
      </c>
      <c r="B9" s="48" t="inlineStr">
        <is>
          <t>AUTOCOLOR</t>
        </is>
      </c>
      <c r="C9" s="48" t="inlineStr">
        <is>
          <t>P192-475</t>
        </is>
      </c>
      <c r="D9" s="48" t="inlineStr">
        <is>
          <t>P192-475</t>
        </is>
      </c>
      <c r="E9" s="48" t="inlineStr">
        <is>
          <t>P192-475/E1</t>
        </is>
      </c>
      <c r="F9" s="48" t="n">
        <v>1</v>
      </c>
      <c r="G9" s="48" t="inlineStr">
        <is>
          <t>REGULATOR BAZY</t>
        </is>
      </c>
      <c r="H9" s="48" t="inlineStr">
        <is>
          <t>2K REGULATOR BAZY</t>
        </is>
      </c>
      <c r="I9" s="48" t="inlineStr">
        <is>
          <t>REGULATOR BAZY</t>
        </is>
      </c>
      <c r="J9" s="48" t="inlineStr">
        <is>
          <t>Regulator bazy — rozcieńcza i ułatwia aplikację mieszanki, bez zmiany odcienia. Nie jest tonerem kolorystycznym.</t>
        </is>
      </c>
      <c r="K9" s="48" t="inlineStr">
        <is>
          <t>g</t>
        </is>
      </c>
      <c r="L9" s="48" t="inlineStr">
        <is>
          <t>Regulator</t>
        </is>
      </c>
      <c r="M9" s="48" t="inlineStr">
        <is>
          <t>OK</t>
        </is>
      </c>
      <c r="N9" s="48" t="inlineStr"/>
      <c r="O9" s="48" t="inlineStr">
        <is>
          <t>ODS_KATALOG</t>
        </is>
      </c>
      <c r="P9" s="48" t="inlineStr">
        <is>
          <t>TAK</t>
        </is>
      </c>
      <c r="Q9" s="48" t="inlineStr">
        <is>
          <t>TAK</t>
        </is>
      </c>
      <c r="R9" s="48" t="inlineStr">
        <is>
          <t>Base blender / reducer. Does not shift hue; adjusts viscosity and application of the mixing base.</t>
        </is>
      </c>
      <c r="S9" s="48" t="inlineStr">
        <is>
          <t>Regulator bazy — rozcieńcza i ułatwia aplikację mieszanki, bez zmiany odcienia. Nie jest tonerem kolorystycznym.</t>
        </is>
      </c>
    </row>
    <row r="10" ht="48" customHeight="1">
      <c r="A10" s="48" t="inlineStr">
        <is>
          <t>AUTOCOLOR|P192-528</t>
        </is>
      </c>
      <c r="B10" s="48" t="inlineStr">
        <is>
          <t>AUTOCOLOR</t>
        </is>
      </c>
      <c r="C10" s="48" t="inlineStr">
        <is>
          <t>P192-528</t>
        </is>
      </c>
      <c r="D10" s="48" t="inlineStr">
        <is>
          <t>P192-528</t>
        </is>
      </c>
      <c r="E10" s="48" t="inlineStr">
        <is>
          <t>P192-528/E2.5</t>
        </is>
      </c>
      <c r="F10" s="48" t="n">
        <v>2.5</v>
      </c>
      <c r="G10" s="48" t="inlineStr">
        <is>
          <t>REGULATOR UŁOŻENIA ZIARNA</t>
        </is>
      </c>
      <c r="H10" s="48" t="inlineStr">
        <is>
          <t>2K REGULATOR UŁOŻENIA ZIARNA</t>
        </is>
      </c>
      <c r="I10" s="48" t="inlineStr">
        <is>
          <t>REGULATOR UŁOŻENIA ZIARNA</t>
        </is>
      </c>
      <c r="J10" s="48" t="inlineStr">
        <is>
          <t>Regulator ułożenia ziarna — poprawia orientację płatków metalicznych, uspokaja układ ziarna na powierzchni.</t>
        </is>
      </c>
      <c r="K10" s="48" t="inlineStr">
        <is>
          <t>g</t>
        </is>
      </c>
      <c r="L10" s="48" t="inlineStr">
        <is>
          <t>Regulator</t>
        </is>
      </c>
      <c r="M10" s="48" t="inlineStr">
        <is>
          <t>OK</t>
        </is>
      </c>
      <c r="N10" s="48" t="inlineStr"/>
      <c r="O10" s="48" t="inlineStr">
        <is>
          <t>ODS_KATALOG</t>
        </is>
      </c>
      <c r="P10" s="48" t="inlineStr">
        <is>
          <t>TAK</t>
        </is>
      </c>
      <c r="Q10" s="48" t="inlineStr">
        <is>
          <t>TAK</t>
        </is>
      </c>
      <c r="R10" s="48" t="inlineStr">
        <is>
          <t>Grain / flake orientation controller. Settles metallic flake layout.</t>
        </is>
      </c>
      <c r="S10" s="48" t="inlineStr">
        <is>
          <t>Regulator ułożenia ziarna — poprawia orientację płatków metalicznych, uspokaja układ ziarna na powierzchni.</t>
        </is>
      </c>
    </row>
    <row r="11" ht="48" customHeight="1">
      <c r="A11" s="48" t="inlineStr">
        <is>
          <t>AUTOCOLOR|P192-5600</t>
        </is>
      </c>
      <c r="B11" s="48" t="inlineStr">
        <is>
          <t>AUTOCOLOR</t>
        </is>
      </c>
      <c r="C11" s="48" t="inlineStr">
        <is>
          <t>P192-5600</t>
        </is>
      </c>
      <c r="D11" s="48" t="inlineStr">
        <is>
          <t>P192-5600</t>
        </is>
      </c>
      <c r="E11" s="48" t="inlineStr">
        <is>
          <t>P192-5600/E2.5</t>
        </is>
      </c>
      <c r="F11" s="48" t="n">
        <v>2.5</v>
      </c>
      <c r="G11" s="48" t="inlineStr">
        <is>
          <t>REGULATOR FLOPU</t>
        </is>
      </c>
      <c r="H11" s="48" t="inlineStr">
        <is>
          <t>2K REGULATOR FLOPU</t>
        </is>
      </c>
      <c r="I11" s="48" t="inlineStr">
        <is>
          <t>REGULATOR FLOPU</t>
        </is>
      </c>
      <c r="J11" s="48" t="inlineStr">
        <is>
          <t>Regulator flopu — koryguje różnicę światło/cień, uspokaja lub pogłębia flop (cień) w metalikach i perłach.</t>
        </is>
      </c>
      <c r="K11" s="48" t="inlineStr">
        <is>
          <t>g</t>
        </is>
      </c>
      <c r="L11" s="48" t="inlineStr">
        <is>
          <t>Regulator</t>
        </is>
      </c>
      <c r="M11" s="48" t="inlineStr">
        <is>
          <t>OK</t>
        </is>
      </c>
      <c r="N11" s="48" t="inlineStr"/>
      <c r="O11" s="48" t="inlineStr">
        <is>
          <t>ODS_KATALOG</t>
        </is>
      </c>
      <c r="P11" s="48" t="inlineStr">
        <is>
          <t>TAK</t>
        </is>
      </c>
      <c r="Q11" s="48" t="inlineStr">
        <is>
          <t>TAK</t>
        </is>
      </c>
      <c r="R11" s="48" t="inlineStr">
        <is>
          <t>Flop controller. Adjusts the light-to-dark travel (face vs flop).</t>
        </is>
      </c>
      <c r="S11" s="48" t="inlineStr">
        <is>
          <t>Regulator flopu — koryguje różnicę światło/cień, uspokaja lub pogłębia flop (cień) w metalikach i perłach.</t>
        </is>
      </c>
    </row>
    <row r="12" ht="48" customHeight="1">
      <c r="A12" s="48" t="inlineStr">
        <is>
          <t>AUTOCOLOR|P420-902RT</t>
        </is>
      </c>
      <c r="B12" s="48" t="inlineStr">
        <is>
          <t>AUTOCOLOR</t>
        </is>
      </c>
      <c r="C12" s="48" t="inlineStr">
        <is>
          <t>P420-902RT</t>
        </is>
      </c>
      <c r="D12" s="48" t="inlineStr">
        <is>
          <t>P420-902</t>
        </is>
      </c>
      <c r="E12" s="48" t="inlineStr">
        <is>
          <t>P420-902/E1</t>
        </is>
      </c>
      <c r="F12" s="48" t="n">
        <v>1</v>
      </c>
      <c r="G12" s="48" t="inlineStr">
        <is>
          <t>RT Pale White</t>
        </is>
      </c>
      <c r="H12" s="48" t="inlineStr">
        <is>
          <t>2K PALE WHITE</t>
        </is>
      </c>
      <c r="I12" s="48" t="inlineStr">
        <is>
          <t>RT Pale White</t>
        </is>
      </c>
      <c r="J12" s="48" t="inlineStr">
        <is>
          <t>Mocna biel — silnie rozjaśnia. Toner RT (obniżona moc). Jeżeli udział przekracza 10%, użyj P425-900.</t>
        </is>
      </c>
      <c r="K12" s="48" t="inlineStr">
        <is>
          <t>g</t>
        </is>
      </c>
      <c r="L12" s="48" t="inlineStr">
        <is>
          <t>Czerń/Biel</t>
        </is>
      </c>
      <c r="M12" s="48" t="inlineStr">
        <is>
          <t>OK</t>
        </is>
      </c>
      <c r="N12" s="48" t="inlineStr"/>
      <c r="O12" s="48" t="inlineStr">
        <is>
          <t>PDF_AUTOCOLOR</t>
        </is>
      </c>
      <c r="P12" s="48" t="inlineStr">
        <is>
          <t>TAK</t>
        </is>
      </c>
      <c r="Q12" s="48" t="inlineStr">
        <is>
          <t>TAK</t>
        </is>
      </c>
      <c r="R12" s="48" t="inlineStr">
        <is>
          <t>Strong white. If more than 10% use P425-900.</t>
        </is>
      </c>
      <c r="S12" s="48" t="inlineStr">
        <is>
          <t>Mocna biel — silnie rozjaśnia. Toner RT (obniżona moc). Jeżeli udział przekracza 10%, użyj P425-900.</t>
        </is>
      </c>
    </row>
    <row r="13" ht="48" customHeight="1">
      <c r="A13" s="48" t="inlineStr">
        <is>
          <t>AUTOCOLOR|P420-903RT</t>
        </is>
      </c>
      <c r="B13" s="48" t="inlineStr">
        <is>
          <t>AUTOCOLOR</t>
        </is>
      </c>
      <c r="C13" s="48" t="inlineStr">
        <is>
          <t>P420-903RT</t>
        </is>
      </c>
      <c r="D13" s="48" t="inlineStr">
        <is>
          <t>P420-903</t>
        </is>
      </c>
      <c r="E13" s="48" t="inlineStr">
        <is>
          <t>P420-903/E1</t>
        </is>
      </c>
      <c r="F13" s="48" t="n">
        <v>1</v>
      </c>
      <c r="G13" s="48" t="inlineStr">
        <is>
          <t>RT Medium Pale Yellow</t>
        </is>
      </c>
      <c r="H13" s="48" t="inlineStr">
        <is>
          <t>2K MEDIUM PALE YELLOW</t>
        </is>
      </c>
      <c r="I13" s="48" t="inlineStr">
        <is>
          <t>RT Medium Pale Yellow</t>
        </is>
      </c>
      <c r="J13" s="48" t="inlineStr">
        <is>
          <t>Bladożółty z zielonkawożółtym flopem (cień). Toner RT — rozjaśnia w stronę bladego żółtego.</t>
        </is>
      </c>
      <c r="K13" s="48" t="inlineStr">
        <is>
          <t>g</t>
        </is>
      </c>
      <c r="L13" s="48" t="inlineStr">
        <is>
          <t>Toner</t>
        </is>
      </c>
      <c r="M13" s="48" t="inlineStr">
        <is>
          <t>OK</t>
        </is>
      </c>
      <c r="N13" s="48" t="inlineStr"/>
      <c r="O13" s="48" t="inlineStr">
        <is>
          <t>PDF_AUTOCOLOR</t>
        </is>
      </c>
      <c r="P13" s="48" t="inlineStr">
        <is>
          <t>TAK</t>
        </is>
      </c>
      <c r="Q13" s="48" t="inlineStr">
        <is>
          <t>TAK</t>
        </is>
      </c>
      <c r="R13" s="48" t="inlineStr">
        <is>
          <t>Pale yellow with a greenish yellow flop.</t>
        </is>
      </c>
      <c r="S13" s="48" t="inlineStr">
        <is>
          <t>Bladożółty z zielonkawożółtym flopem (cień). Toner RT — rozjaśnia w stronę bladego żółtego.</t>
        </is>
      </c>
    </row>
    <row r="14" ht="48" customHeight="1">
      <c r="A14" s="48" t="inlineStr">
        <is>
          <t>AUTOCOLOR|P420-904RT</t>
        </is>
      </c>
      <c r="B14" s="48" t="inlineStr">
        <is>
          <t>AUTOCOLOR</t>
        </is>
      </c>
      <c r="C14" s="48" t="inlineStr">
        <is>
          <t>P420-904RT</t>
        </is>
      </c>
      <c r="D14" s="48" t="inlineStr">
        <is>
          <t>P420-904</t>
        </is>
      </c>
      <c r="E14" s="48" t="inlineStr">
        <is>
          <t>P420-904/E1</t>
        </is>
      </c>
      <c r="F14" s="48" t="n">
        <v>1</v>
      </c>
      <c r="G14" s="48" t="inlineStr">
        <is>
          <t>RT Transparent Black</t>
        </is>
      </c>
      <c r="H14" s="48" t="inlineStr">
        <is>
          <t>2K TRANSPARENT BLACK</t>
        </is>
      </c>
      <c r="I14" s="48" t="inlineStr">
        <is>
          <t>RT Transparent Black</t>
        </is>
      </c>
      <c r="J14" s="48" t="inlineStr">
        <is>
          <t>Czerń o żółtym odcieniu, ciemniejszy flop niż P420-933. Toner RT, transparentniejszy niż pełna czerń. Jeżeli udział przekracza 10%, użyj P425-948.</t>
        </is>
      </c>
      <c r="K14" s="48" t="inlineStr">
        <is>
          <t>g</t>
        </is>
      </c>
      <c r="L14" s="48" t="inlineStr">
        <is>
          <t>Czerń/Biel</t>
        </is>
      </c>
      <c r="M14" s="48" t="inlineStr">
        <is>
          <t>OK</t>
        </is>
      </c>
      <c r="N14" s="48" t="inlineStr"/>
      <c r="O14" s="48" t="inlineStr">
        <is>
          <t>PDF_AUTOCOLOR</t>
        </is>
      </c>
      <c r="P14" s="48" t="inlineStr">
        <is>
          <t>TAK</t>
        </is>
      </c>
      <c r="Q14" s="48" t="inlineStr">
        <is>
          <t>TAK</t>
        </is>
      </c>
      <c r="R14" s="48" t="inlineStr">
        <is>
          <t>Yellow-shade black, darker flop than P420-933. If more than 10% use P425-948.</t>
        </is>
      </c>
      <c r="S14" s="48" t="inlineStr">
        <is>
          <t>Czerń o żółtym odcieniu, ciemniejszy flop niż P420-933. Toner RT, transparentniejszy niż pełna czerń. Jeżeli udział przekracza 10%, użyj P425-948.</t>
        </is>
      </c>
    </row>
    <row r="15" ht="48" customHeight="1">
      <c r="A15" s="48" t="inlineStr">
        <is>
          <t>AUTOCOLOR|P420-905</t>
        </is>
      </c>
      <c r="B15" s="48" t="inlineStr">
        <is>
          <t>AUTOCOLOR</t>
        </is>
      </c>
      <c r="C15" s="48" t="inlineStr">
        <is>
          <t>P420-905</t>
        </is>
      </c>
      <c r="D15" s="48" t="inlineStr">
        <is>
          <t>P420-905</t>
        </is>
      </c>
      <c r="E15" s="48" t="inlineStr">
        <is>
          <t>P420-905/E1</t>
        </is>
      </c>
      <c r="F15" s="48" t="n">
        <v>1</v>
      </c>
      <c r="G15" s="48" t="inlineStr">
        <is>
          <t>Yellow Oxide</t>
        </is>
      </c>
      <c r="H15" s="48" t="inlineStr">
        <is>
          <t>2K YELLOW OXIDE</t>
        </is>
      </c>
      <c r="I15" s="48" t="inlineStr">
        <is>
          <t>Yellow Oxide</t>
        </is>
      </c>
      <c r="J15" s="48" t="inlineStr">
        <is>
          <t>Kryjący tlenek żółty. Dodaje żółć tlenkową (ciepłą, ziemistą), silne krycie, przytłumia czystość tonu.</t>
        </is>
      </c>
      <c r="K15" s="48" t="inlineStr">
        <is>
          <t>g</t>
        </is>
      </c>
      <c r="L15" s="48" t="inlineStr">
        <is>
          <t>Toner</t>
        </is>
      </c>
      <c r="M15" s="48" t="inlineStr">
        <is>
          <t>OK</t>
        </is>
      </c>
      <c r="N15" s="48" t="inlineStr"/>
      <c r="O15" s="48" t="inlineStr">
        <is>
          <t>PDF_AUTOCOLOR</t>
        </is>
      </c>
      <c r="P15" s="48" t="inlineStr">
        <is>
          <t>TAK</t>
        </is>
      </c>
      <c r="Q15" s="48" t="inlineStr">
        <is>
          <t>TAK</t>
        </is>
      </c>
      <c r="R15" s="48" t="inlineStr">
        <is>
          <t>Opaque yellow oxide.</t>
        </is>
      </c>
      <c r="S15" s="48" t="inlineStr">
        <is>
          <t>Kryjący tlenek żółty. Dodaje żółć tlenkową (ciepłą, ziemistą), silne krycie, przytłumia czystość tonu.</t>
        </is>
      </c>
    </row>
    <row r="16" ht="48" customHeight="1">
      <c r="A16" s="48" t="inlineStr">
        <is>
          <t>AUTOCOLOR|P420-907</t>
        </is>
      </c>
      <c r="B16" s="48" t="inlineStr">
        <is>
          <t>AUTOCOLOR</t>
        </is>
      </c>
      <c r="C16" s="48" t="inlineStr">
        <is>
          <t>P420-907</t>
        </is>
      </c>
      <c r="D16" s="48" t="inlineStr">
        <is>
          <t>P420-907</t>
        </is>
      </c>
      <c r="E16" s="48" t="inlineStr">
        <is>
          <t>P420-907/E1</t>
        </is>
      </c>
      <c r="F16" s="48" t="n">
        <v>1</v>
      </c>
      <c r="G16" s="48" t="inlineStr">
        <is>
          <t>Red Oxide</t>
        </is>
      </c>
      <c r="H16" s="48" t="inlineStr">
        <is>
          <t>2K RED OXIDE</t>
        </is>
      </c>
      <c r="I16" s="48" t="inlineStr">
        <is>
          <t>Red Oxide</t>
        </is>
      </c>
      <c r="J16" s="48" t="inlineStr">
        <is>
          <t>Tlenek czerwony (rdzawy). Kryjący toner tlenkowy; pełna moc odpowiednika RT Russet (P420-908RT).</t>
        </is>
      </c>
      <c r="K16" s="48" t="inlineStr">
        <is>
          <t>g</t>
        </is>
      </c>
      <c r="L16" s="48" t="inlineStr">
        <is>
          <t>Toner</t>
        </is>
      </c>
      <c r="M16" s="48" t="inlineStr">
        <is>
          <t>OK</t>
        </is>
      </c>
      <c r="N16" s="48" t="inlineStr"/>
      <c r="O16" s="48" t="inlineStr">
        <is>
          <t>PDF_AUTOCOLOR</t>
        </is>
      </c>
      <c r="P16" s="48" t="inlineStr">
        <is>
          <t>TAK</t>
        </is>
      </c>
      <c r="Q16" s="48" t="inlineStr">
        <is>
          <t>TAK</t>
        </is>
      </c>
      <c r="R16" s="48" t="inlineStr">
        <is>
          <t>Red oxide. Full-strength counterpart of RT Russet P420-908RT.</t>
        </is>
      </c>
      <c r="S16" s="48" t="inlineStr">
        <is>
          <t>Tlenek czerwony (rdzawy). Kryjący toner tlenkowy; pełna moc odpowiednika RT Russet (P420-908RT).</t>
        </is>
      </c>
    </row>
    <row r="17" ht="48" customHeight="1">
      <c r="A17" s="48" t="inlineStr">
        <is>
          <t>AUTOCOLOR|P420-908RT</t>
        </is>
      </c>
      <c r="B17" s="48" t="inlineStr">
        <is>
          <t>AUTOCOLOR</t>
        </is>
      </c>
      <c r="C17" s="48" t="inlineStr">
        <is>
          <t>P420-908RT</t>
        </is>
      </c>
      <c r="D17" s="48" t="inlineStr">
        <is>
          <t>P420-908</t>
        </is>
      </c>
      <c r="E17" s="48" t="inlineStr">
        <is>
          <t>P420-908/E1</t>
        </is>
      </c>
      <c r="F17" s="48" t="n">
        <v>1</v>
      </c>
      <c r="G17" s="48" t="inlineStr">
        <is>
          <t>RT Russet</t>
        </is>
      </c>
      <c r="H17" s="48" t="inlineStr">
        <is>
          <t>2K RUSSET</t>
        </is>
      </c>
      <c r="I17" s="48" t="inlineStr">
        <is>
          <t>RT Russet</t>
        </is>
      </c>
      <c r="J17" s="48" t="inlineStr">
        <is>
          <t>Tlenek czerwony o niebieskim odcieniu. Toner RT. Jeżeli udział przekracza 10%, użyj P420-907.</t>
        </is>
      </c>
      <c r="K17" s="48" t="inlineStr">
        <is>
          <t>g</t>
        </is>
      </c>
      <c r="L17" s="48" t="inlineStr">
        <is>
          <t>Toner</t>
        </is>
      </c>
      <c r="M17" s="48" t="inlineStr">
        <is>
          <t>OK</t>
        </is>
      </c>
      <c r="N17" s="48" t="inlineStr"/>
      <c r="O17" s="48" t="inlineStr">
        <is>
          <t>PDF_AUTOCOLOR</t>
        </is>
      </c>
      <c r="P17" s="48" t="inlineStr">
        <is>
          <t>TAK</t>
        </is>
      </c>
      <c r="Q17" s="48" t="inlineStr">
        <is>
          <t>TAK</t>
        </is>
      </c>
      <c r="R17" s="48" t="inlineStr">
        <is>
          <t>Blue shade red oxide. If more than 10% use P420-907.</t>
        </is>
      </c>
      <c r="S17" s="48" t="inlineStr">
        <is>
          <t>Tlenek czerwony o niebieskim odcieniu. Toner RT. Jeżeli udział przekracza 10%, użyj P420-907.</t>
        </is>
      </c>
    </row>
    <row r="18" ht="48" customHeight="1">
      <c r="A18" s="48" t="inlineStr">
        <is>
          <t>AUTOCOLOR|P420-910RT</t>
        </is>
      </c>
      <c r="B18" s="48" t="inlineStr">
        <is>
          <t>AUTOCOLOR</t>
        </is>
      </c>
      <c r="C18" s="48" t="inlineStr">
        <is>
          <t>P420-910RT</t>
        </is>
      </c>
      <c r="D18" s="48" t="inlineStr">
        <is>
          <t>P420-910</t>
        </is>
      </c>
      <c r="E18" s="48" t="inlineStr">
        <is>
          <t>P420-910/E1</t>
        </is>
      </c>
      <c r="F18" s="48" t="n">
        <v>1</v>
      </c>
      <c r="G18" s="48" t="inlineStr">
        <is>
          <t>RT Deep Blue</t>
        </is>
      </c>
      <c r="H18" s="48" t="inlineStr">
        <is>
          <t>2K DEEP BLUE</t>
        </is>
      </c>
      <c r="I18" s="48" t="inlineStr">
        <is>
          <t>RT Deep Blue</t>
        </is>
      </c>
      <c r="J18" s="48" t="inlineStr">
        <is>
          <t>Wysokowydajny transparentny niebieski. Toner RT. Jeżeli udział przekracza 10%, użyj P425-957.</t>
        </is>
      </c>
      <c r="K18" s="48" t="inlineStr">
        <is>
          <t>g</t>
        </is>
      </c>
      <c r="L18" s="48" t="inlineStr">
        <is>
          <t>Toner</t>
        </is>
      </c>
      <c r="M18" s="48" t="inlineStr">
        <is>
          <t>OK</t>
        </is>
      </c>
      <c r="N18" s="48" t="inlineStr"/>
      <c r="O18" s="48" t="inlineStr">
        <is>
          <t>PDF_AUTOCOLOR</t>
        </is>
      </c>
      <c r="P18" s="48" t="inlineStr">
        <is>
          <t>TAK</t>
        </is>
      </c>
      <c r="Q18" s="48" t="inlineStr">
        <is>
          <t>TAK</t>
        </is>
      </c>
      <c r="R18" s="48" t="inlineStr">
        <is>
          <t>High strength transparent blue. If more than 10% use P425-957.</t>
        </is>
      </c>
      <c r="S18" s="48" t="inlineStr">
        <is>
          <t>Wysokowydajny transparentny niebieski. Toner RT. Jeżeli udział przekracza 10%, użyj P425-957.</t>
        </is>
      </c>
    </row>
    <row r="19" ht="48" customHeight="1">
      <c r="A19" s="48" t="inlineStr">
        <is>
          <t>AUTOCOLOR|P420-920</t>
        </is>
      </c>
      <c r="B19" s="48" t="inlineStr">
        <is>
          <t>AUTOCOLOR</t>
        </is>
      </c>
      <c r="C19" s="48" t="inlineStr">
        <is>
          <t>P420-920</t>
        </is>
      </c>
      <c r="D19" s="48" t="inlineStr">
        <is>
          <t>P420-920</t>
        </is>
      </c>
      <c r="E19" s="48" t="inlineStr">
        <is>
          <t>P420-920/E1</t>
        </is>
      </c>
      <c r="F19" s="48" t="n">
        <v>1</v>
      </c>
      <c r="G19" s="48" t="inlineStr">
        <is>
          <t>Violet</t>
        </is>
      </c>
      <c r="H19" s="48" t="inlineStr">
        <is>
          <t>2K VIOLET</t>
        </is>
      </c>
      <c r="I19" s="48" t="inlineStr">
        <is>
          <t>Violet</t>
        </is>
      </c>
      <c r="J19" s="48" t="inlineStr">
        <is>
          <t>Czysty fiolet z brudnym żółtym flopem; bardziej czerwony niż P420-930. Czyste światło (face), cieplejszy/brudniejszy cień.</t>
        </is>
      </c>
      <c r="K19" s="48" t="inlineStr">
        <is>
          <t>g</t>
        </is>
      </c>
      <c r="L19" s="48" t="inlineStr">
        <is>
          <t>Toner</t>
        </is>
      </c>
      <c r="M19" s="48" t="inlineStr">
        <is>
          <t>OK</t>
        </is>
      </c>
      <c r="N19" s="48" t="inlineStr"/>
      <c r="O19" s="48" t="inlineStr">
        <is>
          <t>PDF_AUTOCOLOR</t>
        </is>
      </c>
      <c r="P19" s="48" t="inlineStr">
        <is>
          <t>TAK</t>
        </is>
      </c>
      <c r="Q19" s="48" t="inlineStr">
        <is>
          <t>TAK</t>
        </is>
      </c>
      <c r="R19" s="48" t="inlineStr">
        <is>
          <t>Clean violet with a dirty yellow flop, redder than P420-930.</t>
        </is>
      </c>
      <c r="S19" s="48" t="inlineStr">
        <is>
          <t>Czysty fiolet z brudnym żółtym flopem; bardziej czerwony niż P420-930. Czyste światło (face), cieplejszy/brudniejszy cień.</t>
        </is>
      </c>
    </row>
    <row r="20" ht="48" customHeight="1">
      <c r="A20" s="48" t="inlineStr">
        <is>
          <t>AUTOCOLOR|P420-926</t>
        </is>
      </c>
      <c r="B20" s="48" t="inlineStr">
        <is>
          <t>AUTOCOLOR</t>
        </is>
      </c>
      <c r="C20" s="48" t="inlineStr">
        <is>
          <t>P420-926</t>
        </is>
      </c>
      <c r="D20" s="48" t="inlineStr">
        <is>
          <t>P420-926</t>
        </is>
      </c>
      <c r="E20" s="48" t="inlineStr">
        <is>
          <t>P420-926/E1</t>
        </is>
      </c>
      <c r="F20" s="48" t="n">
        <v>1</v>
      </c>
      <c r="G20" s="48" t="inlineStr">
        <is>
          <t>Super Red</t>
        </is>
      </c>
      <c r="H20" s="48" t="inlineStr">
        <is>
          <t>2K SUPER RED</t>
        </is>
      </c>
      <c r="I20" s="48" t="inlineStr">
        <is>
          <t>Super Red</t>
        </is>
      </c>
      <c r="J20" s="48" t="inlineStr">
        <is>
          <t>Czysta czerwień. Dodaje czysty czerwony ton (bez tlenkowego przytłumienia).</t>
        </is>
      </c>
      <c r="K20" s="48" t="inlineStr">
        <is>
          <t>g</t>
        </is>
      </c>
      <c r="L20" s="48" t="inlineStr">
        <is>
          <t>Toner</t>
        </is>
      </c>
      <c r="M20" s="48" t="inlineStr">
        <is>
          <t>OK</t>
        </is>
      </c>
      <c r="N20" s="48" t="inlineStr"/>
      <c r="O20" s="48" t="inlineStr">
        <is>
          <t>PDF_AUTOCOLOR</t>
        </is>
      </c>
      <c r="P20" s="48" t="inlineStr">
        <is>
          <t>TAK</t>
        </is>
      </c>
      <c r="Q20" s="48" t="inlineStr">
        <is>
          <t>TAK</t>
        </is>
      </c>
      <c r="R20" s="48" t="inlineStr">
        <is>
          <t>Clean red.</t>
        </is>
      </c>
      <c r="S20" s="48" t="inlineStr">
        <is>
          <t>Czysta czerwień. Dodaje czysty czerwony ton (bez tlenkowego przytłumienia).</t>
        </is>
      </c>
    </row>
    <row r="21" ht="48" customHeight="1">
      <c r="A21" s="49" t="inlineStr">
        <is>
          <t>AUTOCOLOR|P420-930</t>
        </is>
      </c>
      <c r="B21" s="49" t="inlineStr">
        <is>
          <t>AUTOCOLOR</t>
        </is>
      </c>
      <c r="C21" s="49" t="inlineStr">
        <is>
          <t>P420-930</t>
        </is>
      </c>
      <c r="D21" s="49" t="inlineStr">
        <is>
          <t>P420-930</t>
        </is>
      </c>
      <c r="E21" s="49" t="inlineStr">
        <is>
          <t>P420-930/E1</t>
        </is>
      </c>
      <c r="F21" s="49" t="n">
        <v>1</v>
      </c>
      <c r="G21" s="49" t="inlineStr">
        <is>
          <t>Lake Blue</t>
        </is>
      </c>
      <c r="H21" s="49" t="inlineStr">
        <is>
          <t>2K BLUE LAKE</t>
        </is>
      </c>
      <c r="I21" s="49" t="inlineStr">
        <is>
          <t>Lake Blue</t>
        </is>
      </c>
      <c r="J21" s="49" t="inlineStr">
        <is>
          <t>Niebieski o czerwonym odcieniu. Przesuwa ton w stronę czerwono-niebieskiego (cieplejszy błękit).</t>
        </is>
      </c>
      <c r="K21" s="49" t="inlineStr">
        <is>
          <t>g</t>
        </is>
      </c>
      <c r="L21" s="49" t="inlineStr">
        <is>
          <t>Toner</t>
        </is>
      </c>
      <c r="M21" s="49" t="inlineStr">
        <is>
          <t>KOLIZJA NAZW</t>
        </is>
      </c>
      <c r="N21" s="49" t="inlineStr">
        <is>
          <t>ODS: 2K BLUE LAKE | PDF: Lake Blue Red shade blue.</t>
        </is>
      </c>
      <c r="O21" s="49" t="inlineStr">
        <is>
          <t>PDF_AUTOCOLOR</t>
        </is>
      </c>
      <c r="P21" s="49" t="inlineStr">
        <is>
          <t>TAK</t>
        </is>
      </c>
      <c r="Q21" s="49" t="inlineStr">
        <is>
          <t>TAK</t>
        </is>
      </c>
      <c r="R21" s="49" t="inlineStr">
        <is>
          <t>Red shade blue.</t>
        </is>
      </c>
      <c r="S21" s="49" t="inlineStr">
        <is>
          <t>Niebieski o czerwonym odcieniu. Przesuwa ton w stronę czerwono-niebieskiego (cieplejszy błękit).</t>
        </is>
      </c>
    </row>
    <row r="22" ht="48" customHeight="1">
      <c r="A22" s="48" t="inlineStr">
        <is>
          <t>AUTOCOLOR|P420-933</t>
        </is>
      </c>
      <c r="B22" s="48" t="inlineStr">
        <is>
          <t>AUTOCOLOR</t>
        </is>
      </c>
      <c r="C22" s="48" t="inlineStr">
        <is>
          <t>P420-933</t>
        </is>
      </c>
      <c r="D22" s="48" t="inlineStr">
        <is>
          <t>P420-933</t>
        </is>
      </c>
      <c r="E22" s="48" t="inlineStr">
        <is>
          <t>P420-933/E3.5</t>
        </is>
      </c>
      <c r="F22" s="48" t="n">
        <v>3.5</v>
      </c>
      <c r="G22" s="48" t="inlineStr">
        <is>
          <t>Blue Black</t>
        </is>
      </c>
      <c r="H22" s="48" t="inlineStr">
        <is>
          <t>2K BLUE BLACK</t>
        </is>
      </c>
      <c r="I22" s="48" t="inlineStr">
        <is>
          <t>Blue Black</t>
        </is>
      </c>
      <c r="J22" s="48" t="inlineStr">
        <is>
          <t>Czerń o niebieskim odcieniu; jaśniejszy i bardziej niebieski flop niż P425-948. Ściemia z niebieskim cieniem.</t>
        </is>
      </c>
      <c r="K22" s="48" t="inlineStr">
        <is>
          <t>g</t>
        </is>
      </c>
      <c r="L22" s="48" t="inlineStr">
        <is>
          <t>Czerń/Biel</t>
        </is>
      </c>
      <c r="M22" s="48" t="inlineStr">
        <is>
          <t>OK</t>
        </is>
      </c>
      <c r="N22" s="48" t="inlineStr"/>
      <c r="O22" s="48" t="inlineStr">
        <is>
          <t>PDF_AUTOCOLOR</t>
        </is>
      </c>
      <c r="P22" s="48" t="inlineStr">
        <is>
          <t>TAK</t>
        </is>
      </c>
      <c r="Q22" s="48" t="inlineStr">
        <is>
          <t>TAK</t>
        </is>
      </c>
      <c r="R22" s="48" t="inlineStr">
        <is>
          <t>Blue-shade black, lighter and bluer flop than P425-948.</t>
        </is>
      </c>
      <c r="S22" s="48" t="inlineStr">
        <is>
          <t>Czerń o niebieskim odcieniu; jaśniejszy i bardziej niebieski flop niż P425-948. Ściemia z niebieskim cieniem.</t>
        </is>
      </c>
    </row>
    <row r="23" ht="48" customHeight="1">
      <c r="A23" s="48" t="inlineStr">
        <is>
          <t>AUTOCOLOR|P420-938</t>
        </is>
      </c>
      <c r="B23" s="48" t="inlineStr">
        <is>
          <t>AUTOCOLOR</t>
        </is>
      </c>
      <c r="C23" s="48" t="inlineStr">
        <is>
          <t>P420-938</t>
        </is>
      </c>
      <c r="D23" s="48" t="inlineStr">
        <is>
          <t>P420-938</t>
        </is>
      </c>
      <c r="E23" s="48" t="inlineStr">
        <is>
          <t>P420-938/E1</t>
        </is>
      </c>
      <c r="F23" s="48" t="n">
        <v>1</v>
      </c>
      <c r="G23" s="48" t="inlineStr">
        <is>
          <t>Tone Controller</t>
        </is>
      </c>
      <c r="H23" s="48" t="inlineStr">
        <is>
          <t>2K TONE CONTROLLER</t>
        </is>
      </c>
      <c r="I23" s="48" t="inlineStr">
        <is>
          <t>Tone Controller</t>
        </is>
      </c>
      <c r="J23" s="48" t="inlineStr">
        <is>
          <t>Kontroler tonu — daje wrażenie grubszego ziarna i rozjaśnia flop (cień). Uspokaja zbyt ciemny/płaski cień metaliku.</t>
        </is>
      </c>
      <c r="K23" s="48" t="inlineStr">
        <is>
          <t>g</t>
        </is>
      </c>
      <c r="L23" s="48" t="inlineStr">
        <is>
          <t>Regulator</t>
        </is>
      </c>
      <c r="M23" s="48" t="inlineStr">
        <is>
          <t>OK</t>
        </is>
      </c>
      <c r="N23" s="48" t="inlineStr"/>
      <c r="O23" s="48" t="inlineStr">
        <is>
          <t>PDF_AUTOCOLOR</t>
        </is>
      </c>
      <c r="P23" s="48" t="inlineStr">
        <is>
          <t>TAK</t>
        </is>
      </c>
      <c r="Q23" s="48" t="inlineStr">
        <is>
          <t>TAK</t>
        </is>
      </c>
      <c r="R23" s="48" t="inlineStr">
        <is>
          <t>Gives a more coarse flake appearance and lightens the flop.</t>
        </is>
      </c>
      <c r="S23" s="48" t="inlineStr">
        <is>
          <t>Kontroler tonu — daje wrażenie grubszego ziarna i rozjaśnia flop (cień). Uspokaja zbyt ciemny/płaski cień metaliku.</t>
        </is>
      </c>
    </row>
    <row r="24" ht="48" customHeight="1">
      <c r="A24" s="48" t="inlineStr">
        <is>
          <t>AUTOCOLOR|P420-942</t>
        </is>
      </c>
      <c r="B24" s="48" t="inlineStr">
        <is>
          <t>AUTOCOLOR</t>
        </is>
      </c>
      <c r="C24" s="48" t="inlineStr">
        <is>
          <t>P420-942</t>
        </is>
      </c>
      <c r="D24" s="48" t="inlineStr">
        <is>
          <t>P420-942</t>
        </is>
      </c>
      <c r="E24" s="48" t="inlineStr">
        <is>
          <t>P420-942/E1</t>
        </is>
      </c>
      <c r="F24" s="48" t="n">
        <v>1</v>
      </c>
      <c r="G24" s="48" t="inlineStr">
        <is>
          <t>Transoxide Red</t>
        </is>
      </c>
      <c r="H24" s="48" t="inlineStr">
        <is>
          <t>2K TRANSOXIDE RED</t>
        </is>
      </c>
      <c r="I24" s="48" t="inlineStr">
        <is>
          <t>Transoxide Red</t>
        </is>
      </c>
      <c r="J24" s="48" t="inlineStr">
        <is>
          <t>Złotobrązowy transparentny tlenek czerwony z żółtym flopem. Czystsze światło (face), jaśniejszy i bardziej żółty flop niż P420-978.</t>
        </is>
      </c>
      <c r="K24" s="48" t="inlineStr">
        <is>
          <t>g</t>
        </is>
      </c>
      <c r="L24" s="48" t="inlineStr">
        <is>
          <t>Toner</t>
        </is>
      </c>
      <c r="M24" s="48" t="inlineStr">
        <is>
          <t>OK</t>
        </is>
      </c>
      <c r="N24" s="48" t="inlineStr"/>
      <c r="O24" s="48" t="inlineStr">
        <is>
          <t>PDF_AUTOCOLOR</t>
        </is>
      </c>
      <c r="P24" s="48" t="inlineStr">
        <is>
          <t>TAK</t>
        </is>
      </c>
      <c r="Q24" s="48" t="inlineStr">
        <is>
          <t>TAK</t>
        </is>
      </c>
      <c r="R24" s="48" t="inlineStr">
        <is>
          <t>Golden brown transparent red oxide with a yellow shade flop. Cleaner face, lighter and yellower flop than P420-978.</t>
        </is>
      </c>
      <c r="S24" s="48" t="inlineStr">
        <is>
          <t>Złotobrązowy transparentny tlenek czerwony z żółtym flopem. Czystsze światło (face), jaśniejszy i bardziej żółty flop niż P420-978.</t>
        </is>
      </c>
    </row>
    <row r="25" ht="48" customHeight="1">
      <c r="A25" s="48" t="inlineStr">
        <is>
          <t>AUTOCOLOR|P420-952</t>
        </is>
      </c>
      <c r="B25" s="48" t="inlineStr">
        <is>
          <t>AUTOCOLOR</t>
        </is>
      </c>
      <c r="C25" s="48" t="inlineStr">
        <is>
          <t>P420-952</t>
        </is>
      </c>
      <c r="D25" s="48" t="inlineStr">
        <is>
          <t>P420-952</t>
        </is>
      </c>
      <c r="E25" s="48" t="inlineStr">
        <is>
          <t>P420-952/E1</t>
        </is>
      </c>
      <c r="F25" s="48" t="n">
        <v>1</v>
      </c>
      <c r="G25" s="48" t="inlineStr">
        <is>
          <t>Fast Blue</t>
        </is>
      </c>
      <c r="H25" s="48" t="inlineStr">
        <is>
          <t>2K FAST BLUE</t>
        </is>
      </c>
      <c r="I25" s="48" t="inlineStr">
        <is>
          <t>Fast Blue</t>
        </is>
      </c>
      <c r="J25" s="48" t="inlineStr">
        <is>
          <t>Niebieski o środkowym odcieniu. Neutralny błękit do korekty tonu bez silnego przesunięcia w zieleń lub czerwień.</t>
        </is>
      </c>
      <c r="K25" s="48" t="inlineStr">
        <is>
          <t>g</t>
        </is>
      </c>
      <c r="L25" s="48" t="inlineStr">
        <is>
          <t>Toner</t>
        </is>
      </c>
      <c r="M25" s="48" t="inlineStr">
        <is>
          <t>OK</t>
        </is>
      </c>
      <c r="N25" s="48" t="inlineStr"/>
      <c r="O25" s="48" t="inlineStr">
        <is>
          <t>PDF_AUTOCOLOR</t>
        </is>
      </c>
      <c r="P25" s="48" t="inlineStr">
        <is>
          <t>TAK</t>
        </is>
      </c>
      <c r="Q25" s="48" t="inlineStr">
        <is>
          <t>TAK</t>
        </is>
      </c>
      <c r="R25" s="48" t="inlineStr">
        <is>
          <t>Mid-shade blue.</t>
        </is>
      </c>
      <c r="S25" s="48" t="inlineStr">
        <is>
          <t>Niebieski o środkowym odcieniu. Neutralny błękit do korekty tonu bez silnego przesunięcia w zieleń lub czerwień.</t>
        </is>
      </c>
    </row>
    <row r="26" ht="48" customHeight="1">
      <c r="A26" s="49" t="inlineStr">
        <is>
          <t>AUTOCOLOR|P420-960RT</t>
        </is>
      </c>
      <c r="B26" s="49" t="inlineStr">
        <is>
          <t>AUTOCOLOR</t>
        </is>
      </c>
      <c r="C26" s="49" t="inlineStr">
        <is>
          <t>P420-960RT</t>
        </is>
      </c>
      <c r="D26" s="49" t="inlineStr">
        <is>
          <t>P420-960</t>
        </is>
      </c>
      <c r="E26" s="49" t="inlineStr">
        <is>
          <t>P420-960/E1</t>
        </is>
      </c>
      <c r="F26" s="49" t="n">
        <v>1</v>
      </c>
      <c r="G26" s="49" t="inlineStr">
        <is>
          <t>RT Burgundy</t>
        </is>
      </c>
      <c r="H26" s="49" t="inlineStr">
        <is>
          <t>2K REDUCED MAGENTA</t>
        </is>
      </c>
      <c r="I26" s="49" t="inlineStr">
        <is>
          <t>RT Burgundy</t>
        </is>
      </c>
      <c r="J26" s="49" t="inlineStr">
        <is>
          <t>Fiolet o niebieskim odcieniu; brudniejsze światło (face) i ciemniejszy flop niż P425-921. Toner RT. Jeżeli udział przekracza 10%, użyj P429-976.</t>
        </is>
      </c>
      <c r="K26" s="49" t="inlineStr">
        <is>
          <t>g</t>
        </is>
      </c>
      <c r="L26" s="49" t="inlineStr">
        <is>
          <t>Toner</t>
        </is>
      </c>
      <c r="M26" s="49" t="inlineStr">
        <is>
          <t>KOLIZJA NAZW</t>
        </is>
      </c>
      <c r="N26" s="49" t="inlineStr">
        <is>
          <t>ODS: 2K REDUCED MAGENTA | PDF: RT Burgundy pigments in a formula.</t>
        </is>
      </c>
      <c r="O26" s="49" t="inlineStr">
        <is>
          <t>PDF_AUTOCOLOR</t>
        </is>
      </c>
      <c r="P26" s="49" t="inlineStr">
        <is>
          <t>TAK</t>
        </is>
      </c>
      <c r="Q26" s="49" t="inlineStr">
        <is>
          <t>TAK</t>
        </is>
      </c>
      <c r="R26" s="49" t="inlineStr">
        <is>
          <t>Blue shade violet, dirtier face and darker flop than P425-921. If more than 10% use P429-976.</t>
        </is>
      </c>
      <c r="S26" s="49" t="inlineStr">
        <is>
          <t>Fiolet o niebieskim odcieniu; brudniejsze światło (face) i ciemniejszy flop niż P425-921. Toner RT. Jeżeli udział przekracza 10%, użyj P429-976.</t>
        </is>
      </c>
    </row>
    <row r="27" ht="48" customHeight="1">
      <c r="A27" s="48" t="inlineStr">
        <is>
          <t>AUTOCOLOR|P420-975</t>
        </is>
      </c>
      <c r="B27" s="48" t="inlineStr">
        <is>
          <t>AUTOCOLOR</t>
        </is>
      </c>
      <c r="C27" s="48" t="inlineStr">
        <is>
          <t>P420-975</t>
        </is>
      </c>
      <c r="D27" s="48" t="inlineStr">
        <is>
          <t>P420-975</t>
        </is>
      </c>
      <c r="E27" s="48" t="inlineStr">
        <is>
          <t>P420-975/E1</t>
        </is>
      </c>
      <c r="F27" s="48" t="n">
        <v>1</v>
      </c>
      <c r="G27" s="48" t="inlineStr">
        <is>
          <t>Bronze Green</t>
        </is>
      </c>
      <c r="H27" s="48" t="inlineStr">
        <is>
          <t>2K BRONZE GREEN</t>
        </is>
      </c>
      <c r="I27" s="48" t="inlineStr">
        <is>
          <t>Bronze Green</t>
        </is>
      </c>
      <c r="J27" s="48" t="inlineStr">
        <is>
          <t>Złocista zieleń na świetle (face), żółty odcień na flopie. Ciepła zieleń z żółtym cieniem.</t>
        </is>
      </c>
      <c r="K27" s="48" t="inlineStr">
        <is>
          <t>g</t>
        </is>
      </c>
      <c r="L27" s="48" t="inlineStr">
        <is>
          <t>Toner</t>
        </is>
      </c>
      <c r="M27" s="48" t="inlineStr">
        <is>
          <t>OK</t>
        </is>
      </c>
      <c r="N27" s="48" t="inlineStr"/>
      <c r="O27" s="48" t="inlineStr">
        <is>
          <t>PDF_AUTOCOLOR</t>
        </is>
      </c>
      <c r="P27" s="48" t="inlineStr">
        <is>
          <t>TAK</t>
        </is>
      </c>
      <c r="Q27" s="48" t="inlineStr">
        <is>
          <t>TAK</t>
        </is>
      </c>
      <c r="R27" s="48" t="inlineStr">
        <is>
          <t>Golden green face, yellow shade flop.</t>
        </is>
      </c>
      <c r="S27" s="48" t="inlineStr">
        <is>
          <t>Złocista zieleń na świetle (face), żółty odcień na flopie. Ciepła zieleń z żółtym cieniem.</t>
        </is>
      </c>
    </row>
    <row r="28" ht="48" customHeight="1">
      <c r="A28" s="48" t="inlineStr">
        <is>
          <t>AUTOCOLOR|P420-978</t>
        </is>
      </c>
      <c r="B28" s="48" t="inlineStr">
        <is>
          <t>AUTOCOLOR</t>
        </is>
      </c>
      <c r="C28" s="48" t="inlineStr">
        <is>
          <t>P420-978</t>
        </is>
      </c>
      <c r="D28" s="48" t="inlineStr">
        <is>
          <t>P420-978</t>
        </is>
      </c>
      <c r="E28" s="48" t="inlineStr">
        <is>
          <t>P420-978/E1</t>
        </is>
      </c>
      <c r="F28" s="48" t="n">
        <v>1</v>
      </c>
      <c r="G28" s="48" t="inlineStr">
        <is>
          <t>Brown</t>
        </is>
      </c>
      <c r="H28" s="48" t="inlineStr">
        <is>
          <t>2K BROWN</t>
        </is>
      </c>
      <c r="I28" s="48" t="inlineStr">
        <is>
          <t>Brown</t>
        </is>
      </c>
      <c r="J28" s="48" t="inlineStr">
        <is>
          <t>Ciemny brąz z bardziej żółtym flopem niż P429-923. Ściemia i ociepla, szczególnie w cieniu.</t>
        </is>
      </c>
      <c r="K28" s="48" t="inlineStr">
        <is>
          <t>g</t>
        </is>
      </c>
      <c r="L28" s="48" t="inlineStr">
        <is>
          <t>Toner</t>
        </is>
      </c>
      <c r="M28" s="48" t="inlineStr">
        <is>
          <t>OK</t>
        </is>
      </c>
      <c r="N28" s="48" t="inlineStr"/>
      <c r="O28" s="48" t="inlineStr">
        <is>
          <t>PDF_AUTOCOLOR</t>
        </is>
      </c>
      <c r="P28" s="48" t="inlineStr">
        <is>
          <t>TAK</t>
        </is>
      </c>
      <c r="Q28" s="48" t="inlineStr">
        <is>
          <t>TAK</t>
        </is>
      </c>
      <c r="R28" s="48" t="inlineStr">
        <is>
          <t>Dark brown with a yellower flop than P429-923.</t>
        </is>
      </c>
      <c r="S28" s="48" t="inlineStr">
        <is>
          <t>Ciemny brąz z bardziej żółtym flopem niż P429-923. Ściemia i ociepla, szczególnie w cieniu.</t>
        </is>
      </c>
    </row>
    <row r="29" ht="48" customHeight="1">
      <c r="A29" s="48" t="inlineStr">
        <is>
          <t>AUTOCOLOR|P420-983</t>
        </is>
      </c>
      <c r="B29" s="48" t="inlineStr">
        <is>
          <t>AUTOCOLOR</t>
        </is>
      </c>
      <c r="C29" s="48" t="inlineStr">
        <is>
          <t>P420-983</t>
        </is>
      </c>
      <c r="D29" s="48" t="inlineStr">
        <is>
          <t>P420-983</t>
        </is>
      </c>
      <c r="E29" s="48" t="inlineStr">
        <is>
          <t>P420-983/E1</t>
        </is>
      </c>
      <c r="F29" s="48" t="n">
        <v>1</v>
      </c>
      <c r="G29" s="48" t="inlineStr">
        <is>
          <t>Strong Yellow</t>
        </is>
      </c>
      <c r="H29" s="48" t="inlineStr">
        <is>
          <t>2K STRONG YELLOW</t>
        </is>
      </c>
      <c r="I29" s="48" t="inlineStr">
        <is>
          <t>Strong Yellow</t>
        </is>
      </c>
      <c r="J29" s="48" t="inlineStr">
        <is>
          <t>Żółty o pomarańczowym odcieniu; stosować, gdy potrzebny zielony flop. Czystszy niż P420-982.</t>
        </is>
      </c>
      <c r="K29" s="48" t="inlineStr">
        <is>
          <t>g</t>
        </is>
      </c>
      <c r="L29" s="48" t="inlineStr">
        <is>
          <t>Toner</t>
        </is>
      </c>
      <c r="M29" s="48" t="inlineStr">
        <is>
          <t>OK</t>
        </is>
      </c>
      <c r="N29" s="48" t="inlineStr"/>
      <c r="O29" s="48" t="inlineStr">
        <is>
          <t>PDF_AUTOCOLOR</t>
        </is>
      </c>
      <c r="P29" s="48" t="inlineStr">
        <is>
          <t>TAK</t>
        </is>
      </c>
      <c r="Q29" s="48" t="inlineStr">
        <is>
          <t>TAK</t>
        </is>
      </c>
      <c r="R29" s="48" t="inlineStr">
        <is>
          <t>Orange shade yellow, can be used when a green tone flop is needed. Cleaner than P420-982.</t>
        </is>
      </c>
      <c r="S29" s="48" t="inlineStr">
        <is>
          <t>Żółty o pomarańczowym odcieniu; stosować, gdy potrzebny zielony flop. Czystszy niż P420-982.</t>
        </is>
      </c>
    </row>
    <row r="30" ht="48" customHeight="1">
      <c r="A30" s="48" t="inlineStr">
        <is>
          <t>AUTOCOLOR|P425-900</t>
        </is>
      </c>
      <c r="B30" s="48" t="inlineStr">
        <is>
          <t>AUTOCOLOR</t>
        </is>
      </c>
      <c r="C30" s="48" t="inlineStr">
        <is>
          <t>P425-900</t>
        </is>
      </c>
      <c r="D30" s="48" t="inlineStr">
        <is>
          <t>P425-900</t>
        </is>
      </c>
      <c r="E30" s="48" t="inlineStr">
        <is>
          <t>P425-900/E3.5</t>
        </is>
      </c>
      <c r="F30" s="48" t="n">
        <v>3.5</v>
      </c>
      <c r="G30" s="48" t="inlineStr">
        <is>
          <t>HS Super White</t>
        </is>
      </c>
      <c r="H30" s="48" t="inlineStr">
        <is>
          <t>2K SUPER WHITE</t>
        </is>
      </c>
      <c r="I30" s="48" t="inlineStr">
        <is>
          <t>HS Super White</t>
        </is>
      </c>
      <c r="J30" s="48" t="inlineStr">
        <is>
          <t>Mocna biel HS — silnie rozjaśnia recepturę. Pełna moc odpowiednika RT Pale White (P420-902RT).</t>
        </is>
      </c>
      <c r="K30" s="48" t="inlineStr">
        <is>
          <t>g</t>
        </is>
      </c>
      <c r="L30" s="48" t="inlineStr">
        <is>
          <t>Czerń/Biel</t>
        </is>
      </c>
      <c r="M30" s="48" t="inlineStr">
        <is>
          <t>OK</t>
        </is>
      </c>
      <c r="N30" s="48" t="inlineStr"/>
      <c r="O30" s="48" t="inlineStr">
        <is>
          <t>PDF_AUTOCOLOR</t>
        </is>
      </c>
      <c r="P30" s="48" t="inlineStr">
        <is>
          <t>TAK</t>
        </is>
      </c>
      <c r="Q30" s="48" t="inlineStr">
        <is>
          <t>TAK</t>
        </is>
      </c>
      <c r="R30" s="48" t="inlineStr">
        <is>
          <t>Strong HS white. Full-strength counterpart of RT Pale White P420-902RT.</t>
        </is>
      </c>
      <c r="S30" s="48" t="inlineStr">
        <is>
          <t>Mocna biel HS — silnie rozjaśnia recepturę. Pełna moc odpowiednika RT Pale White (P420-902RT).</t>
        </is>
      </c>
    </row>
    <row r="31" ht="48" customHeight="1">
      <c r="A31" s="48" t="inlineStr">
        <is>
          <t>AUTOCOLOR|P425-919</t>
        </is>
      </c>
      <c r="B31" s="48" t="inlineStr">
        <is>
          <t>AUTOCOLOR</t>
        </is>
      </c>
      <c r="C31" s="48" t="inlineStr">
        <is>
          <t>P425-919</t>
        </is>
      </c>
      <c r="D31" s="48" t="inlineStr">
        <is>
          <t>P425-919</t>
        </is>
      </c>
      <c r="E31" s="48" t="inlineStr">
        <is>
          <t>P425-919/E1</t>
        </is>
      </c>
      <c r="F31" s="48" t="n">
        <v>1</v>
      </c>
      <c r="G31" s="48" t="inlineStr">
        <is>
          <t>HS Clean Red Violet</t>
        </is>
      </c>
      <c r="H31" s="48" t="inlineStr">
        <is>
          <t>2K CLEAN RED VIOLET</t>
        </is>
      </c>
      <c r="I31" s="48" t="inlineStr">
        <is>
          <t>HS Clean Red Violet</t>
        </is>
      </c>
      <c r="J31" s="48" t="inlineStr">
        <is>
          <t>Średni fiolet z głębokim flopem. Czysty czerwono-fioletowy ton, mocno pogłębia cień.</t>
        </is>
      </c>
      <c r="K31" s="48" t="inlineStr">
        <is>
          <t>g</t>
        </is>
      </c>
      <c r="L31" s="48" t="inlineStr">
        <is>
          <t>Toner</t>
        </is>
      </c>
      <c r="M31" s="48" t="inlineStr">
        <is>
          <t>OK</t>
        </is>
      </c>
      <c r="N31" s="48" t="inlineStr"/>
      <c r="O31" s="48" t="inlineStr">
        <is>
          <t>PDF_AUTOCOLOR</t>
        </is>
      </c>
      <c r="P31" s="48" t="inlineStr">
        <is>
          <t>TAK</t>
        </is>
      </c>
      <c r="Q31" s="48" t="inlineStr">
        <is>
          <t>TAK</t>
        </is>
      </c>
      <c r="R31" s="48" t="inlineStr">
        <is>
          <t>Medium violet with deep flop.</t>
        </is>
      </c>
      <c r="S31" s="48" t="inlineStr">
        <is>
          <t>Średni fiolet z głębokim flopem. Czysty czerwono-fioletowy ton, mocno pogłębia cień.</t>
        </is>
      </c>
    </row>
    <row r="32" ht="48" customHeight="1">
      <c r="A32" s="48" t="inlineStr">
        <is>
          <t>AUTOCOLOR|P425-921</t>
        </is>
      </c>
      <c r="B32" s="48" t="inlineStr">
        <is>
          <t>AUTOCOLOR</t>
        </is>
      </c>
      <c r="C32" s="48" t="inlineStr">
        <is>
          <t>P425-921</t>
        </is>
      </c>
      <c r="D32" s="48" t="inlineStr">
        <is>
          <t>P425-921</t>
        </is>
      </c>
      <c r="E32" s="48" t="inlineStr">
        <is>
          <t>P425-921/E1</t>
        </is>
      </c>
      <c r="F32" s="48" t="n">
        <v>1</v>
      </c>
      <c r="G32" s="48" t="inlineStr">
        <is>
          <t>HS Claret</t>
        </is>
      </c>
      <c r="H32" s="48" t="inlineStr">
        <is>
          <t>2K CLARET</t>
        </is>
      </c>
      <c r="I32" s="48" t="inlineStr">
        <is>
          <t>HS Claret</t>
        </is>
      </c>
      <c r="J32" s="48" t="inlineStr">
        <is>
          <t>Czysta magenta o niebieskim tonie; czystsza i jaśniejsza niż P429-976. Czysty, chłodny czerwono-fiolet.</t>
        </is>
      </c>
      <c r="K32" s="48" t="inlineStr">
        <is>
          <t>g</t>
        </is>
      </c>
      <c r="L32" s="48" t="inlineStr">
        <is>
          <t>Toner</t>
        </is>
      </c>
      <c r="M32" s="48" t="inlineStr">
        <is>
          <t>OK</t>
        </is>
      </c>
      <c r="N32" s="48" t="inlineStr"/>
      <c r="O32" s="48" t="inlineStr">
        <is>
          <t>PDF_AUTOCOLOR</t>
        </is>
      </c>
      <c r="P32" s="48" t="inlineStr">
        <is>
          <t>TAK</t>
        </is>
      </c>
      <c r="Q32" s="48" t="inlineStr">
        <is>
          <t>TAK</t>
        </is>
      </c>
      <c r="R32" s="48" t="inlineStr">
        <is>
          <t>Clean blue tone magenta, cleaner and lighter than P429-976.</t>
        </is>
      </c>
      <c r="S32" s="48" t="inlineStr">
        <is>
          <t>Czysta magenta o niebieskim tonie; czystsza i jaśniejsza niż P429-976. Czysty, chłodny czerwono-fiolet.</t>
        </is>
      </c>
    </row>
    <row r="33" ht="48" customHeight="1">
      <c r="A33" s="48" t="inlineStr">
        <is>
          <t>AUTOCOLOR|P425-922</t>
        </is>
      </c>
      <c r="B33" s="48" t="inlineStr">
        <is>
          <t>AUTOCOLOR</t>
        </is>
      </c>
      <c r="C33" s="48" t="inlineStr">
        <is>
          <t>P425-922</t>
        </is>
      </c>
      <c r="D33" s="48" t="inlineStr">
        <is>
          <t>P425-922</t>
        </is>
      </c>
      <c r="E33" s="48" t="inlineStr">
        <is>
          <t>P425-922/E1</t>
        </is>
      </c>
      <c r="F33" s="48" t="n">
        <v>1</v>
      </c>
      <c r="G33" s="48" t="inlineStr">
        <is>
          <t>HS Lagoon Blue</t>
        </is>
      </c>
      <c r="H33" s="48" t="inlineStr">
        <is>
          <t>2K LAGOON BLUE</t>
        </is>
      </c>
      <c r="I33" s="48" t="inlineStr">
        <is>
          <t>HS Lagoon Blue</t>
        </is>
      </c>
      <c r="J33" s="48" t="inlineStr">
        <is>
          <t>Zielonawy niebieski z zielonym flopem. Do receptur metalik/perła — przesuwa błękit w zieleń, także w cieniu.</t>
        </is>
      </c>
      <c r="K33" s="48" t="inlineStr">
        <is>
          <t>g</t>
        </is>
      </c>
      <c r="L33" s="48" t="inlineStr">
        <is>
          <t>Perła</t>
        </is>
      </c>
      <c r="M33" s="48" t="inlineStr">
        <is>
          <t>OK</t>
        </is>
      </c>
      <c r="N33" s="48" t="inlineStr"/>
      <c r="O33" s="48" t="inlineStr">
        <is>
          <t>PDF_AUTOCOLOR</t>
        </is>
      </c>
      <c r="P33" s="48" t="inlineStr">
        <is>
          <t>TAK</t>
        </is>
      </c>
      <c r="Q33" s="48" t="inlineStr">
        <is>
          <t>TAK</t>
        </is>
      </c>
      <c r="R33" s="48" t="inlineStr">
        <is>
          <t>Green shade blue with a green flop. Used in metallic/pearl formulations.</t>
        </is>
      </c>
      <c r="S33" s="48" t="inlineStr">
        <is>
          <t>Zielonawy niebieski z zielonym flopem. Do receptur metalik/perła — przesuwa błękit w zieleń, także w cieniu.</t>
        </is>
      </c>
    </row>
    <row r="34" ht="48" customHeight="1">
      <c r="A34" s="48" t="inlineStr">
        <is>
          <t>AUTOCOLOR|P425-941</t>
        </is>
      </c>
      <c r="B34" s="48" t="inlineStr">
        <is>
          <t>AUTOCOLOR</t>
        </is>
      </c>
      <c r="C34" s="48" t="inlineStr">
        <is>
          <t>P425-941</t>
        </is>
      </c>
      <c r="D34" s="48" t="inlineStr">
        <is>
          <t>P425-941</t>
        </is>
      </c>
      <c r="E34" s="48" t="inlineStr">
        <is>
          <t>P425-941/E3.5</t>
        </is>
      </c>
      <c r="F34" s="48" t="n">
        <v>3.5</v>
      </c>
      <c r="G34" s="48" t="inlineStr">
        <is>
          <t>HS Strong Red</t>
        </is>
      </c>
      <c r="H34" s="48" t="inlineStr">
        <is>
          <t>2K STRONG RED</t>
        </is>
      </c>
      <c r="I34" s="48" t="inlineStr">
        <is>
          <t>HS Strong Red</t>
        </is>
      </c>
      <c r="J34" s="48" t="inlineStr">
        <is>
          <t>Czysta, wysokowydajna czerwień — głównie kolory solid. Silna siła barwienia, czysty czerwony ton.</t>
        </is>
      </c>
      <c r="K34" s="48" t="inlineStr">
        <is>
          <t>g</t>
        </is>
      </c>
      <c r="L34" s="48" t="inlineStr">
        <is>
          <t>Toner</t>
        </is>
      </c>
      <c r="M34" s="48" t="inlineStr">
        <is>
          <t>OK</t>
        </is>
      </c>
      <c r="N34" s="48" t="inlineStr"/>
      <c r="O34" s="48" t="inlineStr">
        <is>
          <t>PDF_AUTOCOLOR</t>
        </is>
      </c>
      <c r="P34" s="48" t="inlineStr">
        <is>
          <t>TAK</t>
        </is>
      </c>
      <c r="Q34" s="48" t="inlineStr">
        <is>
          <t>TAK</t>
        </is>
      </c>
      <c r="R34" s="48" t="inlineStr">
        <is>
          <t>Clean, high strength red used primarily in solid colours.</t>
        </is>
      </c>
      <c r="S34" s="48" t="inlineStr">
        <is>
          <t>Czysta, wysokowydajna czerwień — głównie kolory solid. Silna siła barwienia, czysty czerwony ton.</t>
        </is>
      </c>
    </row>
    <row r="35" ht="48" customHeight="1">
      <c r="A35" s="48" t="inlineStr">
        <is>
          <t>AUTOCOLOR|P425-948</t>
        </is>
      </c>
      <c r="B35" s="48" t="inlineStr">
        <is>
          <t>AUTOCOLOR</t>
        </is>
      </c>
      <c r="C35" s="48" t="inlineStr">
        <is>
          <t>P425-948</t>
        </is>
      </c>
      <c r="D35" s="48" t="inlineStr">
        <is>
          <t>P425-948</t>
        </is>
      </c>
      <c r="E35" s="48" t="inlineStr">
        <is>
          <t>P425-948/E1</t>
        </is>
      </c>
      <c r="F35" s="48" t="n">
        <v>1</v>
      </c>
      <c r="G35" s="48" t="inlineStr">
        <is>
          <t>HS Black</t>
        </is>
      </c>
      <c r="H35" s="48" t="inlineStr">
        <is>
          <t>2K BLACK</t>
        </is>
      </c>
      <c r="I35" s="48" t="inlineStr">
        <is>
          <t>HS Black</t>
        </is>
      </c>
      <c r="J35" s="48" t="inlineStr">
        <is>
          <t>Czerń HS. Ściemia światło i flop. Pełna moc odpowiednika RT Transparent Black (P420-904RT).</t>
        </is>
      </c>
      <c r="K35" s="48" t="inlineStr">
        <is>
          <t>g</t>
        </is>
      </c>
      <c r="L35" s="48" t="inlineStr">
        <is>
          <t>Czerń/Biel</t>
        </is>
      </c>
      <c r="M35" s="48" t="inlineStr">
        <is>
          <t>OK</t>
        </is>
      </c>
      <c r="N35" s="48" t="inlineStr"/>
      <c r="O35" s="48" t="inlineStr">
        <is>
          <t>PDF_AUTOCOLOR</t>
        </is>
      </c>
      <c r="P35" s="48" t="inlineStr">
        <is>
          <t>TAK</t>
        </is>
      </c>
      <c r="Q35" s="48" t="inlineStr">
        <is>
          <t>TAK</t>
        </is>
      </c>
      <c r="R35" s="48" t="inlineStr">
        <is>
          <t>HS black. Full-strength counterpart of RT Transparent Black P420-904RT.</t>
        </is>
      </c>
      <c r="S35" s="48" t="inlineStr">
        <is>
          <t>Czerń HS. Ściemia światło i flop. Pełna moc odpowiednika RT Transparent Black (P420-904RT).</t>
        </is>
      </c>
    </row>
    <row r="36" ht="48" customHeight="1">
      <c r="A36" s="48" t="inlineStr">
        <is>
          <t>AUTOCOLOR|P425-950</t>
        </is>
      </c>
      <c r="B36" s="48" t="inlineStr">
        <is>
          <t>AUTOCOLOR</t>
        </is>
      </c>
      <c r="C36" s="48" t="inlineStr">
        <is>
          <t>P425-950</t>
        </is>
      </c>
      <c r="D36" s="48" t="inlineStr">
        <is>
          <t>P425-950</t>
        </is>
      </c>
      <c r="E36" s="48" t="inlineStr">
        <is>
          <t>P425-950/E1</t>
        </is>
      </c>
      <c r="F36" s="48" t="n">
        <v>1</v>
      </c>
      <c r="G36" s="48" t="inlineStr">
        <is>
          <t>HS Jet Black</t>
        </is>
      </c>
      <c r="H36" s="48" t="inlineStr">
        <is>
          <t>2K JET BLACK</t>
        </is>
      </c>
      <c r="I36" s="48" t="inlineStr">
        <is>
          <t>HS Jet Black</t>
        </is>
      </c>
      <c r="J36" s="48" t="inlineStr">
        <is>
          <t>Czerń o żółtym odcieniu, ciemniejszy flop niż P425-948. Głębszy, cieplejszy cień niż standardowa czerń HS.</t>
        </is>
      </c>
      <c r="K36" s="48" t="inlineStr">
        <is>
          <t>g</t>
        </is>
      </c>
      <c r="L36" s="48" t="inlineStr">
        <is>
          <t>Czerń/Biel</t>
        </is>
      </c>
      <c r="M36" s="48" t="inlineStr">
        <is>
          <t>OK</t>
        </is>
      </c>
      <c r="N36" s="48" t="inlineStr"/>
      <c r="O36" s="48" t="inlineStr">
        <is>
          <t>PDF_AUTOCOLOR</t>
        </is>
      </c>
      <c r="P36" s="48" t="inlineStr">
        <is>
          <t>TAK</t>
        </is>
      </c>
      <c r="Q36" s="48" t="inlineStr">
        <is>
          <t>TAK</t>
        </is>
      </c>
      <c r="R36" s="48" t="inlineStr">
        <is>
          <t>Yellow-shade black, darker flop than P425-948.</t>
        </is>
      </c>
      <c r="S36" s="48" t="inlineStr">
        <is>
          <t>Czerń o żółtym odcieniu, ciemniejszy flop niż P425-948. Głębszy, cieplejszy cień niż standardowa czerń HS.</t>
        </is>
      </c>
    </row>
    <row r="37" ht="48" customHeight="1">
      <c r="A37" s="48" t="inlineStr">
        <is>
          <t>AUTOCOLOR|P425-954</t>
        </is>
      </c>
      <c r="B37" s="48" t="inlineStr">
        <is>
          <t>AUTOCOLOR</t>
        </is>
      </c>
      <c r="C37" s="48" t="inlineStr">
        <is>
          <t>P425-954</t>
        </is>
      </c>
      <c r="D37" s="48" t="inlineStr">
        <is>
          <t>P425-954</t>
        </is>
      </c>
      <c r="E37" s="48" t="inlineStr">
        <is>
          <t>P425-954/E1</t>
        </is>
      </c>
      <c r="F37" s="48" t="n">
        <v>1</v>
      </c>
      <c r="G37" s="48" t="inlineStr">
        <is>
          <t>HS Blue Green</t>
        </is>
      </c>
      <c r="H37" s="48" t="inlineStr">
        <is>
          <t>2K BLUE GREEN</t>
        </is>
      </c>
      <c r="I37" s="48" t="inlineStr">
        <is>
          <t>HS Blue Green</t>
        </is>
      </c>
      <c r="J37" s="48" t="inlineStr">
        <is>
          <t>Zieleń o niebieskim odcieniu. Chłodna zieleń — przesuwa ton od żółtozielonego w stronę błękitu.</t>
        </is>
      </c>
      <c r="K37" s="48" t="inlineStr">
        <is>
          <t>g</t>
        </is>
      </c>
      <c r="L37" s="48" t="inlineStr">
        <is>
          <t>Toner</t>
        </is>
      </c>
      <c r="M37" s="48" t="inlineStr">
        <is>
          <t>OK</t>
        </is>
      </c>
      <c r="N37" s="48" t="inlineStr"/>
      <c r="O37" s="48" t="inlineStr">
        <is>
          <t>PDF_AUTOCOLOR</t>
        </is>
      </c>
      <c r="P37" s="48" t="inlineStr">
        <is>
          <t>TAK</t>
        </is>
      </c>
      <c r="Q37" s="48" t="inlineStr">
        <is>
          <t>TAK</t>
        </is>
      </c>
      <c r="R37" s="48" t="inlineStr">
        <is>
          <t>Blue shade green.</t>
        </is>
      </c>
      <c r="S37" s="48" t="inlineStr">
        <is>
          <t>Zieleń o niebieskim odcieniu. Chłodna zieleń — przesuwa ton od żółtozielonego w stronę błękitu.</t>
        </is>
      </c>
    </row>
    <row r="38" ht="48" customHeight="1">
      <c r="A38" s="48" t="inlineStr">
        <is>
          <t>AUTOCOLOR|P425-956</t>
        </is>
      </c>
      <c r="B38" s="48" t="inlineStr">
        <is>
          <t>AUTOCOLOR</t>
        </is>
      </c>
      <c r="C38" s="48" t="inlineStr">
        <is>
          <t>P425-956</t>
        </is>
      </c>
      <c r="D38" s="48" t="inlineStr">
        <is>
          <t>P425-956</t>
        </is>
      </c>
      <c r="E38" s="48" t="inlineStr">
        <is>
          <t>P425-956/E1</t>
        </is>
      </c>
      <c r="F38" s="48" t="n">
        <v>1</v>
      </c>
      <c r="G38" s="48" t="inlineStr">
        <is>
          <t>HS Super Blue</t>
        </is>
      </c>
      <c r="H38" s="48" t="inlineStr">
        <is>
          <t>2K SUPER BLUE</t>
        </is>
      </c>
      <c r="I38" s="48" t="inlineStr">
        <is>
          <t>HS Super Blue</t>
        </is>
      </c>
      <c r="J38" s="48" t="inlineStr">
        <is>
          <t>Niebieski środkowy z zielonym światłem (face) i czerwonym flopem. Na świetle chłodniejszy, w cieniu cieplejszy.</t>
        </is>
      </c>
      <c r="K38" s="48" t="inlineStr">
        <is>
          <t>g</t>
        </is>
      </c>
      <c r="L38" s="48" t="inlineStr">
        <is>
          <t>Toner</t>
        </is>
      </c>
      <c r="M38" s="48" t="inlineStr">
        <is>
          <t>OK</t>
        </is>
      </c>
      <c r="N38" s="48" t="inlineStr"/>
      <c r="O38" s="48" t="inlineStr">
        <is>
          <t>PDF_AUTOCOLOR</t>
        </is>
      </c>
      <c r="P38" s="48" t="inlineStr">
        <is>
          <t>TAK</t>
        </is>
      </c>
      <c r="Q38" s="48" t="inlineStr">
        <is>
          <t>TAK</t>
        </is>
      </c>
      <c r="R38" s="48" t="inlineStr">
        <is>
          <t>Mid-shade blue with green face and red tone flop.</t>
        </is>
      </c>
      <c r="S38" s="48" t="inlineStr">
        <is>
          <t>Niebieski środkowy z zielonym światłem (face) i czerwonym flopem. Na świetle chłodniejszy, w cieniu cieplejszy.</t>
        </is>
      </c>
    </row>
    <row r="39" ht="48" customHeight="1">
      <c r="A39" s="48" t="inlineStr">
        <is>
          <t>AUTOCOLOR|P425-957</t>
        </is>
      </c>
      <c r="B39" s="48" t="inlineStr">
        <is>
          <t>AUTOCOLOR</t>
        </is>
      </c>
      <c r="C39" s="48" t="inlineStr">
        <is>
          <t>P425-957</t>
        </is>
      </c>
      <c r="D39" s="48" t="inlineStr">
        <is>
          <t>P425-957</t>
        </is>
      </c>
      <c r="E39" s="48" t="inlineStr">
        <is>
          <t>P425-957/E1</t>
        </is>
      </c>
      <c r="F39" s="48" t="n">
        <v>1</v>
      </c>
      <c r="G39" s="48" t="inlineStr">
        <is>
          <t>HS Fast Blue</t>
        </is>
      </c>
      <c r="H39" s="48" t="inlineStr">
        <is>
          <t>2K FAST BLUE</t>
        </is>
      </c>
      <c r="I39" s="48" t="inlineStr">
        <is>
          <t>HS Fast Blue</t>
        </is>
      </c>
      <c r="J39" s="48" t="inlineStr">
        <is>
          <t>Wysokowydajny niebieski HS. Pełna moc odpowiednika RT Deep Blue (P420-910RT).</t>
        </is>
      </c>
      <c r="K39" s="48" t="inlineStr">
        <is>
          <t>g</t>
        </is>
      </c>
      <c r="L39" s="48" t="inlineStr">
        <is>
          <t>Toner</t>
        </is>
      </c>
      <c r="M39" s="48" t="inlineStr">
        <is>
          <t>OK</t>
        </is>
      </c>
      <c r="N39" s="48" t="inlineStr"/>
      <c r="O39" s="48" t="inlineStr">
        <is>
          <t>PDF_AUTOCOLOR</t>
        </is>
      </c>
      <c r="P39" s="48" t="inlineStr">
        <is>
          <t>TAK</t>
        </is>
      </c>
      <c r="Q39" s="48" t="inlineStr">
        <is>
          <t>TAK</t>
        </is>
      </c>
      <c r="R39" s="48" t="inlineStr">
        <is>
          <t>High strength blue. Full-strength counterpart of RT Deep Blue P420-910RT.</t>
        </is>
      </c>
      <c r="S39" s="48" t="inlineStr">
        <is>
          <t>Wysokowydajny niebieski HS. Pełna moc odpowiednika RT Deep Blue (P420-910RT).</t>
        </is>
      </c>
    </row>
    <row r="40" ht="48" customHeight="1">
      <c r="A40" s="48" t="inlineStr">
        <is>
          <t>AUTOCOLOR|P425-971</t>
        </is>
      </c>
      <c r="B40" s="48" t="inlineStr">
        <is>
          <t>AUTOCOLOR</t>
        </is>
      </c>
      <c r="C40" s="48" t="inlineStr">
        <is>
          <t>P425-971</t>
        </is>
      </c>
      <c r="D40" s="48" t="inlineStr">
        <is>
          <t>P425-971</t>
        </is>
      </c>
      <c r="E40" s="48" t="inlineStr">
        <is>
          <t>P425-971/E1</t>
        </is>
      </c>
      <c r="F40" s="48" t="n">
        <v>1</v>
      </c>
      <c r="G40" s="48" t="inlineStr">
        <is>
          <t>HS Brilliant Red</t>
        </is>
      </c>
      <c r="H40" s="48" t="inlineStr">
        <is>
          <t>2K BRILLIANT RED</t>
        </is>
      </c>
      <c r="I40" s="48" t="inlineStr">
        <is>
          <t>HS Brilliant Red</t>
        </is>
      </c>
      <c r="J40" s="48" t="inlineStr">
        <is>
          <t>Czysta czerwień o żółtym tonie. Ciepła, jaskrawa czerwień (w stronę pomarańczu), bez brudzenia flopu.</t>
        </is>
      </c>
      <c r="K40" s="48" t="inlineStr">
        <is>
          <t>g</t>
        </is>
      </c>
      <c r="L40" s="48" t="inlineStr">
        <is>
          <t>Toner</t>
        </is>
      </c>
      <c r="M40" s="48" t="inlineStr">
        <is>
          <t>OK</t>
        </is>
      </c>
      <c r="N40" s="48" t="inlineStr"/>
      <c r="O40" s="48" t="inlineStr">
        <is>
          <t>PDF_AUTOCOLOR</t>
        </is>
      </c>
      <c r="P40" s="48" t="inlineStr">
        <is>
          <t>TAK</t>
        </is>
      </c>
      <c r="Q40" s="48" t="inlineStr">
        <is>
          <t>TAK</t>
        </is>
      </c>
      <c r="R40" s="48" t="inlineStr">
        <is>
          <t>Clean yellow tone red.</t>
        </is>
      </c>
      <c r="S40" s="48" t="inlineStr">
        <is>
          <t>Czysta czerwień o żółtym tonie. Ciepła, jaskrawa czerwień (w stronę pomarańczu), bez brudzenia flopu.</t>
        </is>
      </c>
    </row>
    <row r="41" ht="48" customHeight="1">
      <c r="A41" s="49" t="inlineStr">
        <is>
          <t>AUTOCOLOR|P425-984</t>
        </is>
      </c>
      <c r="B41" s="49" t="inlineStr">
        <is>
          <t>AUTOCOLOR</t>
        </is>
      </c>
      <c r="C41" s="49" t="inlineStr">
        <is>
          <t>P425-984</t>
        </is>
      </c>
      <c r="D41" s="49" t="inlineStr">
        <is>
          <t>P425-984</t>
        </is>
      </c>
      <c r="E41" s="49" t="inlineStr">
        <is>
          <t>P425-984/E1</t>
        </is>
      </c>
      <c r="F41" s="49" t="n">
        <v>1</v>
      </c>
      <c r="G41" s="49" t="inlineStr">
        <is>
          <t>HS Medium Fine Aluminium</t>
        </is>
      </c>
      <c r="H41" s="49" t="inlineStr">
        <is>
          <t>2K BRIGHT MEDIUM ALUMINIUM</t>
        </is>
      </c>
      <c r="I41" s="49" t="inlineStr">
        <is>
          <t>HS Medium Fine Aluminium</t>
        </is>
      </c>
      <c r="J41" s="49" t="inlineStr">
        <is>
          <t>Drobny, jasny metalik z ciemniejszym flopem niż P425-986. Rozjaśnia światło, pogłębia cień względem średniego aluminium.</t>
        </is>
      </c>
      <c r="K41" s="49" t="inlineStr">
        <is>
          <t>g</t>
        </is>
      </c>
      <c r="L41" s="49" t="inlineStr">
        <is>
          <t>Aluminium</t>
        </is>
      </c>
      <c r="M41" s="49" t="inlineStr">
        <is>
          <t>KOLIZJA NAZW</t>
        </is>
      </c>
      <c r="N41" s="49" t="inlineStr">
        <is>
          <t>ODS: 2K BRIGHT MEDIUM ALUMINIUM | PDF: HS Medium Fine Aluminium</t>
        </is>
      </c>
      <c r="O41" s="49" t="inlineStr">
        <is>
          <t>PDF_AUTOCOLOR</t>
        </is>
      </c>
      <c r="P41" s="49" t="inlineStr">
        <is>
          <t>TAK</t>
        </is>
      </c>
      <c r="Q41" s="49" t="inlineStr">
        <is>
          <t>TAK</t>
        </is>
      </c>
      <c r="R41" s="49" t="inlineStr">
        <is>
          <t>Fine bright metallic with darker flop than P425-986.</t>
        </is>
      </c>
      <c r="S41" s="49" t="inlineStr">
        <is>
          <t>Drobny, jasny metalik z ciemniejszym flopem niż P425-986. Rozjaśnia światło, pogłębia cień względem średniego aluminium.</t>
        </is>
      </c>
    </row>
    <row r="42" ht="48" customHeight="1">
      <c r="A42" s="48" t="inlineStr">
        <is>
          <t>AUTOCOLOR|P425-985</t>
        </is>
      </c>
      <c r="B42" s="48" t="inlineStr">
        <is>
          <t>AUTOCOLOR</t>
        </is>
      </c>
      <c r="C42" s="48" t="inlineStr">
        <is>
          <t>P425-985</t>
        </is>
      </c>
      <c r="D42" s="48" t="inlineStr">
        <is>
          <t>P425-985</t>
        </is>
      </c>
      <c r="E42" s="48" t="inlineStr">
        <is>
          <t>P425-985/E1</t>
        </is>
      </c>
      <c r="F42" s="48" t="n">
        <v>1</v>
      </c>
      <c r="G42" s="48" t="inlineStr">
        <is>
          <t>HS Fine Aluminium</t>
        </is>
      </c>
      <c r="H42" s="48" t="inlineStr">
        <is>
          <t>2K FINE ALUMINIUM</t>
        </is>
      </c>
      <c r="I42" s="48" t="inlineStr">
        <is>
          <t>HS Fine Aluminium</t>
        </is>
      </c>
      <c r="J42" s="48" t="inlineStr">
        <is>
          <t>Drobny metalik z ciemnym światłem (face) i jasnym flopem. Drobne ziarno: ciemniejszy na wprost, jaśniejszy w cieniu.</t>
        </is>
      </c>
      <c r="K42" s="48" t="inlineStr">
        <is>
          <t>g</t>
        </is>
      </c>
      <c r="L42" s="48" t="inlineStr">
        <is>
          <t>Aluminium</t>
        </is>
      </c>
      <c r="M42" s="48" t="inlineStr">
        <is>
          <t>OK</t>
        </is>
      </c>
      <c r="N42" s="48" t="inlineStr"/>
      <c r="O42" s="48" t="inlineStr">
        <is>
          <t>PDF_AUTOCOLOR</t>
        </is>
      </c>
      <c r="P42" s="48" t="inlineStr">
        <is>
          <t>TAK</t>
        </is>
      </c>
      <c r="Q42" s="48" t="inlineStr">
        <is>
          <t>TAK</t>
        </is>
      </c>
      <c r="R42" s="48" t="inlineStr">
        <is>
          <t>Fine metallic with a dark face and light flop.</t>
        </is>
      </c>
      <c r="S42" s="48" t="inlineStr">
        <is>
          <t>Drobny metalik z ciemnym światłem (face) i jasnym flopem. Drobne ziarno: ciemniejszy na wprost, jaśniejszy w cieniu.</t>
        </is>
      </c>
    </row>
    <row r="43" ht="48" customHeight="1">
      <c r="A43" s="48" t="inlineStr">
        <is>
          <t>AUTOCOLOR|P425-986</t>
        </is>
      </c>
      <c r="B43" s="48" t="inlineStr">
        <is>
          <t>AUTOCOLOR</t>
        </is>
      </c>
      <c r="C43" s="48" t="inlineStr">
        <is>
          <t>P425-986</t>
        </is>
      </c>
      <c r="D43" s="48" t="inlineStr">
        <is>
          <t>P425-986</t>
        </is>
      </c>
      <c r="E43" s="48" t="inlineStr">
        <is>
          <t>P425-986/E3.5</t>
        </is>
      </c>
      <c r="F43" s="48" t="n">
        <v>3.5</v>
      </c>
      <c r="G43" s="48" t="inlineStr">
        <is>
          <t>HS Medium Aluminium</t>
        </is>
      </c>
      <c r="H43" s="48" t="inlineStr">
        <is>
          <t>2K MEDIUM ALUMINIUM</t>
        </is>
      </c>
      <c r="I43" s="48" t="inlineStr">
        <is>
          <t>HS Medium Aluminium</t>
        </is>
      </c>
      <c r="J43" s="48" t="inlineStr">
        <is>
          <t>Średni metalik z ciemniejszym flopem niż P425-985. Grubsze ziarno niż Fine — ciemniejszy cień.</t>
        </is>
      </c>
      <c r="K43" s="48" t="inlineStr">
        <is>
          <t>g</t>
        </is>
      </c>
      <c r="L43" s="48" t="inlineStr">
        <is>
          <t>Aluminium</t>
        </is>
      </c>
      <c r="M43" s="48" t="inlineStr">
        <is>
          <t>OK</t>
        </is>
      </c>
      <c r="N43" s="48" t="inlineStr"/>
      <c r="O43" s="48" t="inlineStr">
        <is>
          <t>PDF_AUTOCOLOR</t>
        </is>
      </c>
      <c r="P43" s="48" t="inlineStr">
        <is>
          <t>TAK</t>
        </is>
      </c>
      <c r="Q43" s="48" t="inlineStr">
        <is>
          <t>TAK</t>
        </is>
      </c>
      <c r="R43" s="48" t="inlineStr">
        <is>
          <t>Medium metallic with a darker flop than P425-985.</t>
        </is>
      </c>
      <c r="S43" s="48" t="inlineStr">
        <is>
          <t>Średni metalik z ciemniejszym flopem niż P425-985. Grubsze ziarno niż Fine — ciemniejszy cień.</t>
        </is>
      </c>
    </row>
    <row r="44" ht="48" customHeight="1">
      <c r="A44" s="48" t="inlineStr">
        <is>
          <t>AUTOCOLOR|P425-987</t>
        </is>
      </c>
      <c r="B44" s="48" t="inlineStr">
        <is>
          <t>AUTOCOLOR</t>
        </is>
      </c>
      <c r="C44" s="48" t="inlineStr">
        <is>
          <t>P425-987</t>
        </is>
      </c>
      <c r="D44" s="48" t="inlineStr">
        <is>
          <t>P425-987</t>
        </is>
      </c>
      <c r="E44" s="48" t="inlineStr">
        <is>
          <t>P425-987/E3.5</t>
        </is>
      </c>
      <c r="F44" s="48" t="n">
        <v>3.5</v>
      </c>
      <c r="G44" s="48" t="inlineStr">
        <is>
          <t>Medium Coarse Aluminium</t>
        </is>
      </c>
      <c r="H44" s="48" t="inlineStr">
        <is>
          <t>2K MEDIUM COARSE ALUMINIUM</t>
        </is>
      </c>
      <c r="I44" s="48" t="inlineStr">
        <is>
          <t>Medium Coarse Aluminium</t>
        </is>
      </c>
      <c r="J44" s="48" t="inlineStr">
        <is>
          <t>Średnio grube aluminium z ciemniejszym flopem niż P425-985. Wyraźniejsze ziarno, ciemniejszy cień.</t>
        </is>
      </c>
      <c r="K44" s="48" t="inlineStr">
        <is>
          <t>g</t>
        </is>
      </c>
      <c r="L44" s="48" t="inlineStr">
        <is>
          <t>Aluminium</t>
        </is>
      </c>
      <c r="M44" s="48" t="inlineStr">
        <is>
          <t>OK</t>
        </is>
      </c>
      <c r="N44" s="48" t="inlineStr"/>
      <c r="O44" s="48" t="inlineStr">
        <is>
          <t>PDF_AUTOCOLOR</t>
        </is>
      </c>
      <c r="P44" s="48" t="inlineStr">
        <is>
          <t>TAK</t>
        </is>
      </c>
      <c r="Q44" s="48" t="inlineStr">
        <is>
          <t>TAK</t>
        </is>
      </c>
      <c r="R44" s="48" t="inlineStr">
        <is>
          <t>Medium metallic with a darker flop than P425-985.</t>
        </is>
      </c>
      <c r="S44" s="48" t="inlineStr">
        <is>
          <t>Średnio grube aluminium z ciemniejszym flopem niż P425-985. Wyraźniejsze ziarno, ciemniejszy cień.</t>
        </is>
      </c>
    </row>
    <row r="45" ht="48" customHeight="1">
      <c r="A45" s="48" t="inlineStr">
        <is>
          <t>AUTOCOLOR|P425-988</t>
        </is>
      </c>
      <c r="B45" s="48" t="inlineStr">
        <is>
          <t>AUTOCOLOR</t>
        </is>
      </c>
      <c r="C45" s="48" t="inlineStr">
        <is>
          <t>P425-988</t>
        </is>
      </c>
      <c r="D45" s="48" t="inlineStr">
        <is>
          <t>P425-988</t>
        </is>
      </c>
      <c r="E45" s="48" t="inlineStr">
        <is>
          <t>P425-988/E1</t>
        </is>
      </c>
      <c r="F45" s="48" t="n">
        <v>1</v>
      </c>
      <c r="G45" s="48" t="inlineStr">
        <is>
          <t>HS Coarse Aluminium</t>
        </is>
      </c>
      <c r="H45" s="48" t="inlineStr">
        <is>
          <t>2K COARSE ALUMINIUM</t>
        </is>
      </c>
      <c r="I45" s="48" t="inlineStr">
        <is>
          <t>HS Coarse Aluminium</t>
        </is>
      </c>
      <c r="J45" s="48" t="inlineStr">
        <is>
          <t>Grube aluminium: jaśniejsze światło (face), ciemniejszy flop niż P425-987. Mocniejszy błysk ziarna, głębszy cień.</t>
        </is>
      </c>
      <c r="K45" s="48" t="inlineStr">
        <is>
          <t>g</t>
        </is>
      </c>
      <c r="L45" s="48" t="inlineStr">
        <is>
          <t>Aluminium</t>
        </is>
      </c>
      <c r="M45" s="48" t="inlineStr">
        <is>
          <t>OK</t>
        </is>
      </c>
      <c r="N45" s="48" t="inlineStr"/>
      <c r="O45" s="48" t="inlineStr">
        <is>
          <t>PDF_AUTOCOLOR</t>
        </is>
      </c>
      <c r="P45" s="48" t="inlineStr">
        <is>
          <t>TAK</t>
        </is>
      </c>
      <c r="Q45" s="48" t="inlineStr">
        <is>
          <t>TAK</t>
        </is>
      </c>
      <c r="R45" s="48" t="inlineStr">
        <is>
          <t>Brighter face, darker flop than P425-987.</t>
        </is>
      </c>
      <c r="S45" s="48" t="inlineStr">
        <is>
          <t>Grube aluminium: jaśniejsze światło (face), ciemniejszy flop niż P425-987. Mocniejszy błysk ziarna, głębszy cień.</t>
        </is>
      </c>
    </row>
    <row r="46" ht="48" customHeight="1">
      <c r="A46" s="48" t="inlineStr">
        <is>
          <t>AUTOCOLOR|P425-989</t>
        </is>
      </c>
      <c r="B46" s="48" t="inlineStr">
        <is>
          <t>AUTOCOLOR</t>
        </is>
      </c>
      <c r="C46" s="48" t="inlineStr">
        <is>
          <t>P425-989</t>
        </is>
      </c>
      <c r="D46" s="48" t="inlineStr">
        <is>
          <t>P425-989</t>
        </is>
      </c>
      <c r="E46" s="48" t="inlineStr">
        <is>
          <t>P425-989/E1</t>
        </is>
      </c>
      <c r="F46" s="48" t="n">
        <v>1</v>
      </c>
      <c r="G46" s="48" t="inlineStr">
        <is>
          <t>HS Very Coarse Aluminium</t>
        </is>
      </c>
      <c r="H46" s="48" t="inlineStr">
        <is>
          <t>2K VERY COARSE ALUMINIUM</t>
        </is>
      </c>
      <c r="I46" s="48" t="inlineStr">
        <is>
          <t>HS Very Coarse Aluminium</t>
        </is>
      </c>
      <c r="J46" s="48" t="inlineStr">
        <is>
          <t>Bardzo grube, jasne aluminium z ciemnym flopem. Duże ziarno, silny błysk na świetle, głęboki cień.</t>
        </is>
      </c>
      <c r="K46" s="48" t="inlineStr">
        <is>
          <t>g</t>
        </is>
      </c>
      <c r="L46" s="48" t="inlineStr">
        <is>
          <t>Aluminium</t>
        </is>
      </c>
      <c r="M46" s="48" t="inlineStr">
        <is>
          <t>OK</t>
        </is>
      </c>
      <c r="N46" s="48" t="inlineStr"/>
      <c r="O46" s="48" t="inlineStr">
        <is>
          <t>PDF_AUTOCOLOR</t>
        </is>
      </c>
      <c r="P46" s="48" t="inlineStr">
        <is>
          <t>TAK</t>
        </is>
      </c>
      <c r="Q46" s="48" t="inlineStr">
        <is>
          <t>TAK</t>
        </is>
      </c>
      <c r="R46" s="48" t="inlineStr">
        <is>
          <t>Very coarse, bright aluminium with a dark flop.</t>
        </is>
      </c>
      <c r="S46" s="48" t="inlineStr">
        <is>
          <t>Bardzo grube, jasne aluminium z ciemnym flopem. Duże ziarno, silny błysk na świetle, głęboki cień.</t>
        </is>
      </c>
    </row>
    <row r="47" ht="48" customHeight="1">
      <c r="A47" s="48" t="inlineStr">
        <is>
          <t>AUTOCOLOR|P425-991</t>
        </is>
      </c>
      <c r="B47" s="48" t="inlineStr">
        <is>
          <t>AUTOCOLOR</t>
        </is>
      </c>
      <c r="C47" s="48" t="inlineStr">
        <is>
          <t>P425-991</t>
        </is>
      </c>
      <c r="D47" s="48" t="inlineStr">
        <is>
          <t>P425-991</t>
        </is>
      </c>
      <c r="E47" s="48" t="inlineStr">
        <is>
          <t>P425-991/E1</t>
        </is>
      </c>
      <c r="F47" s="48" t="n">
        <v>1</v>
      </c>
      <c r="G47" s="48" t="inlineStr">
        <is>
          <t>Fine Satin Aluminium</t>
        </is>
      </c>
      <c r="H47" s="48" t="inlineStr">
        <is>
          <t>2K FINE SATIN ALUMINIUM</t>
        </is>
      </c>
      <c r="I47" s="48" t="inlineStr">
        <is>
          <t>Fine Satin Aluminium</t>
        </is>
      </c>
      <c r="J47" s="48" t="inlineStr">
        <is>
          <t>Drobne aluminium satynowe. Ciemniejsze światło i jaśniejszy flop niż P425-984. Uspokaja błysk, rozjaśnia cień.</t>
        </is>
      </c>
      <c r="K47" s="48" t="inlineStr">
        <is>
          <t>g</t>
        </is>
      </c>
      <c r="L47" s="48" t="inlineStr">
        <is>
          <t>Aluminium</t>
        </is>
      </c>
      <c r="M47" s="48" t="inlineStr">
        <is>
          <t>OK</t>
        </is>
      </c>
      <c r="N47" s="48" t="inlineStr"/>
      <c r="O47" s="48" t="inlineStr">
        <is>
          <t>PDF_AUTOCOLOR</t>
        </is>
      </c>
      <c r="P47" s="48" t="inlineStr">
        <is>
          <t>TAK</t>
        </is>
      </c>
      <c r="Q47" s="48" t="inlineStr">
        <is>
          <t>TAK</t>
        </is>
      </c>
      <c r="R47" s="48" t="inlineStr">
        <is>
          <t>Fine aluminium. Darker face and lighter flop than P425-984.</t>
        </is>
      </c>
      <c r="S47" s="48" t="inlineStr">
        <is>
          <t>Drobne aluminium satynowe. Ciemniejsze światło i jaśniejszy flop niż P425-984. Uspokaja błysk, rozjaśnia cień.</t>
        </is>
      </c>
    </row>
    <row r="48" ht="48" customHeight="1">
      <c r="A48" s="48" t="inlineStr">
        <is>
          <t>AUTOCOLOR|P425-992</t>
        </is>
      </c>
      <c r="B48" s="48" t="inlineStr">
        <is>
          <t>AUTOCOLOR</t>
        </is>
      </c>
      <c r="C48" s="48" t="inlineStr">
        <is>
          <t>P425-992</t>
        </is>
      </c>
      <c r="D48" s="48" t="inlineStr">
        <is>
          <t>P425-992</t>
        </is>
      </c>
      <c r="E48" s="48" t="inlineStr">
        <is>
          <t>P425-992/E1</t>
        </is>
      </c>
      <c r="F48" s="48" t="n">
        <v>1</v>
      </c>
      <c r="G48" s="48" t="inlineStr">
        <is>
          <t>HS Shining Coarse Aluminium</t>
        </is>
      </c>
      <c r="H48" s="48" t="inlineStr">
        <is>
          <t>2K SHINING COARSE ALUMINIUM</t>
        </is>
      </c>
      <c r="I48" s="48" t="inlineStr">
        <is>
          <t>HS Shining Coarse Aluminium</t>
        </is>
      </c>
      <c r="J48" s="48" t="inlineStr">
        <is>
          <t>Średnio jasny, błyszczący grubszy metalik z ciemniejszym flopem niż P425-984.</t>
        </is>
      </c>
      <c r="K48" s="48" t="inlineStr">
        <is>
          <t>g</t>
        </is>
      </c>
      <c r="L48" s="48" t="inlineStr">
        <is>
          <t>Aluminium</t>
        </is>
      </c>
      <c r="M48" s="48" t="inlineStr">
        <is>
          <t>OK</t>
        </is>
      </c>
      <c r="N48" s="48" t="inlineStr"/>
      <c r="O48" s="48" t="inlineStr">
        <is>
          <t>PDF_AUTOCOLOR</t>
        </is>
      </c>
      <c r="P48" s="48" t="inlineStr">
        <is>
          <t>TAK</t>
        </is>
      </c>
      <c r="Q48" s="48" t="inlineStr">
        <is>
          <t>TAK</t>
        </is>
      </c>
      <c r="R48" s="48" t="inlineStr">
        <is>
          <t>Medium bright metallic with a darker flop than P425-984.</t>
        </is>
      </c>
      <c r="S48" s="48" t="inlineStr">
        <is>
          <t>Średnio jasny, błyszczący grubszy metalik z ciemniejszym flopem niż P425-984.</t>
        </is>
      </c>
    </row>
    <row r="49" ht="48" customHeight="1">
      <c r="A49" s="48" t="inlineStr">
        <is>
          <t>AUTOCOLOR|P425-998</t>
        </is>
      </c>
      <c r="B49" s="48" t="inlineStr">
        <is>
          <t>AUTOCOLOR</t>
        </is>
      </c>
      <c r="C49" s="48" t="inlineStr">
        <is>
          <t>P425-998</t>
        </is>
      </c>
      <c r="D49" s="48" t="inlineStr">
        <is>
          <t>P425-998</t>
        </is>
      </c>
      <c r="E49" s="48" t="inlineStr">
        <is>
          <t>P425-998/E1</t>
        </is>
      </c>
      <c r="F49" s="48" t="n">
        <v>1</v>
      </c>
      <c r="G49" s="48" t="inlineStr">
        <is>
          <t>HS Coarse Silver Dollar Aluminium</t>
        </is>
      </c>
      <c r="H49" s="48" t="inlineStr">
        <is>
          <t>2K COARSE SILVER DOLLAR ALUMINIUM</t>
        </is>
      </c>
      <c r="I49" s="48" t="inlineStr">
        <is>
          <t>HS Coarse Silver Dollar Aluminium</t>
        </is>
      </c>
      <c r="J49" s="48" t="inlineStr">
        <is>
          <t>Jasne grube aluminium typu silver dollar. Czystsze światło i ciemniejszy flop niż P425-992.</t>
        </is>
      </c>
      <c r="K49" s="48" t="inlineStr">
        <is>
          <t>g</t>
        </is>
      </c>
      <c r="L49" s="48" t="inlineStr">
        <is>
          <t>Aluminium</t>
        </is>
      </c>
      <c r="M49" s="48" t="inlineStr">
        <is>
          <t>OK</t>
        </is>
      </c>
      <c r="N49" s="48" t="inlineStr"/>
      <c r="O49" s="48" t="inlineStr">
        <is>
          <t>PDF_AUTOCOLOR</t>
        </is>
      </c>
      <c r="P49" s="48" t="inlineStr">
        <is>
          <t>TAK</t>
        </is>
      </c>
      <c r="Q49" s="48" t="inlineStr">
        <is>
          <t>TAK</t>
        </is>
      </c>
      <c r="R49" s="48" t="inlineStr">
        <is>
          <t>Bright coarse aluminium. Cleaner face and darker flop than P425-992.</t>
        </is>
      </c>
      <c r="S49" s="48" t="inlineStr">
        <is>
          <t>Jasne grube aluminium typu silver dollar. Czystsze światło i ciemniejszy flop niż P425-992.</t>
        </is>
      </c>
    </row>
    <row r="50" ht="48" customHeight="1">
      <c r="A50" s="48" t="inlineStr">
        <is>
          <t>AUTOCOLOR|P425-EB02</t>
        </is>
      </c>
      <c r="B50" s="48" t="inlineStr">
        <is>
          <t>AUTOCOLOR</t>
        </is>
      </c>
      <c r="C50" s="48" t="inlineStr">
        <is>
          <t>P425-EB02</t>
        </is>
      </c>
      <c r="D50" s="48" t="inlineStr">
        <is>
          <t>P425-EB02</t>
        </is>
      </c>
      <c r="E50" s="48" t="inlineStr">
        <is>
          <t>P425-EB02/E1</t>
        </is>
      </c>
      <c r="F50" s="48" t="n">
        <v>1</v>
      </c>
      <c r="G50" s="48" t="inlineStr">
        <is>
          <t>KONWERTER BAZY DO KOMÓR SILNIKA</t>
        </is>
      </c>
      <c r="H50" s="48" t="inlineStr">
        <is>
          <t>2K KONWERTER BAZY DO KOMÓR SILNIKA</t>
        </is>
      </c>
      <c r="I50" s="48" t="inlineStr">
        <is>
          <t>KONWERTER BAZY DO KOMÓR SILNIKA</t>
        </is>
      </c>
      <c r="J50" s="48" t="inlineStr">
        <is>
          <t>Konwerter bazy do komór silnika — zmienia bazę pod aplikację w komorze silnika. Nie jest tonerem kolorystycznym.</t>
        </is>
      </c>
      <c r="K50" s="48" t="inlineStr">
        <is>
          <t>g</t>
        </is>
      </c>
      <c r="L50" s="48" t="inlineStr">
        <is>
          <t>Toner</t>
        </is>
      </c>
      <c r="M50" s="48" t="inlineStr">
        <is>
          <t>OK</t>
        </is>
      </c>
      <c r="N50" s="48" t="inlineStr"/>
      <c r="O50" s="48" t="inlineStr">
        <is>
          <t>ODS_KATALOG</t>
        </is>
      </c>
      <c r="P50" s="48" t="inlineStr">
        <is>
          <t>TAK</t>
        </is>
      </c>
      <c r="Q50" s="48" t="inlineStr">
        <is>
          <t>TAK</t>
        </is>
      </c>
      <c r="R50" s="48" t="inlineStr">
        <is>
          <t>Engine-bay base converter. Not a colour toner.</t>
        </is>
      </c>
      <c r="S50" s="48" t="inlineStr">
        <is>
          <t>Konwerter bazy do komór silnika — zmienia bazę pod aplikację w komorze silnika. Nie jest tonerem kolorystycznym.</t>
        </is>
      </c>
    </row>
    <row r="51" ht="48" customHeight="1">
      <c r="A51" s="49" t="inlineStr">
        <is>
          <t>AUTOCOLOR|P426-HE02</t>
        </is>
      </c>
      <c r="B51" s="49" t="inlineStr">
        <is>
          <t>AUTOCOLOR</t>
        </is>
      </c>
      <c r="C51" s="49" t="inlineStr">
        <is>
          <t>P426-HE02</t>
        </is>
      </c>
      <c r="D51" s="49" t="inlineStr">
        <is>
          <t>P426-HE02</t>
        </is>
      </c>
      <c r="E51" s="49" t="inlineStr">
        <is>
          <t>P426-HE02/E1</t>
        </is>
      </c>
      <c r="F51" s="49" t="n">
        <v>1</v>
      </c>
      <c r="G51" s="49" t="inlineStr">
        <is>
          <t>Blue Frost</t>
        </is>
      </c>
      <c r="H51" s="49" t="inlineStr">
        <is>
          <t>2K ULTRA FINE WHITE</t>
        </is>
      </c>
      <c r="I51" s="49" t="inlineStr">
        <is>
          <t>Blue Frost</t>
        </is>
      </c>
      <c r="J51" s="49" t="inlineStr">
        <is>
          <t>W metalikach dodaje żółć na świetle (face) i jasnoniebieski ton na flopie. Koryguje flop w stronę chłodnego błękitu.</t>
        </is>
      </c>
      <c r="K51" s="49" t="inlineStr">
        <is>
          <t>g</t>
        </is>
      </c>
      <c r="L51" s="49" t="inlineStr">
        <is>
          <t>Czerń/Biel</t>
        </is>
      </c>
      <c r="M51" s="49" t="inlineStr">
        <is>
          <t>KOLIZJA NAZW</t>
        </is>
      </c>
      <c r="N51" s="49" t="inlineStr">
        <is>
          <t>ODS: 2K ULTRA FINE WHITE | PDF: Blue Frost</t>
        </is>
      </c>
      <c r="O51" s="49" t="inlineStr">
        <is>
          <t>PDF_AUTOCOLOR</t>
        </is>
      </c>
      <c r="P51" s="49" t="inlineStr">
        <is>
          <t>TAK</t>
        </is>
      </c>
      <c r="Q51" s="49" t="inlineStr">
        <is>
          <t>TAK</t>
        </is>
      </c>
      <c r="R51" s="49" t="inlineStr">
        <is>
          <t>Used in metallic colours to add yellow to the face and light blue tone to the flop.</t>
        </is>
      </c>
      <c r="S51" s="49" t="inlineStr">
        <is>
          <t>W metalikach dodaje żółć na świetle (face) i jasnoniebieski ton na flopie. Koryguje flop w stronę chłodnego błękitu.</t>
        </is>
      </c>
    </row>
    <row r="52" ht="48" customHeight="1">
      <c r="A52" s="48" t="inlineStr">
        <is>
          <t>AUTOCOLOR|P426-HE03</t>
        </is>
      </c>
      <c r="B52" s="48" t="inlineStr">
        <is>
          <t>AUTOCOLOR</t>
        </is>
      </c>
      <c r="C52" s="48" t="inlineStr">
        <is>
          <t>P426-HE03</t>
        </is>
      </c>
      <c r="D52" s="48" t="inlineStr">
        <is>
          <t>P426-HE03</t>
        </is>
      </c>
      <c r="E52" s="48" t="inlineStr">
        <is>
          <t>P426-HE03/E1</t>
        </is>
      </c>
      <c r="F52" s="48" t="n">
        <v>1</v>
      </c>
      <c r="G52" s="48" t="inlineStr">
        <is>
          <t>Graphite Flake</t>
        </is>
      </c>
      <c r="H52" s="48" t="inlineStr">
        <is>
          <t>2K GRAPHITE FLAKE</t>
        </is>
      </c>
      <c r="I52" s="48" t="inlineStr">
        <is>
          <t>Graphite Flake</t>
        </is>
      </c>
      <c r="J52" s="48" t="inlineStr">
        <is>
          <t>Subtelny niebieski ton na świetle (face), rozjaśnia flop. Grafitowe ziarno — uspokaja i rozjaśnia cień.</t>
        </is>
      </c>
      <c r="K52" s="48" t="inlineStr">
        <is>
          <t>g</t>
        </is>
      </c>
      <c r="L52" s="48" t="inlineStr">
        <is>
          <t>Czerń/Biel</t>
        </is>
      </c>
      <c r="M52" s="48" t="inlineStr">
        <is>
          <t>OK</t>
        </is>
      </c>
      <c r="N52" s="48" t="inlineStr"/>
      <c r="O52" s="48" t="inlineStr">
        <is>
          <t>PDF_AUTOCOLOR</t>
        </is>
      </c>
      <c r="P52" s="48" t="inlineStr">
        <is>
          <t>TAK</t>
        </is>
      </c>
      <c r="Q52" s="48" t="inlineStr">
        <is>
          <t>TAK</t>
        </is>
      </c>
      <c r="R52" s="48" t="inlineStr">
        <is>
          <t>Subtle blue tone on face, lightens flop.</t>
        </is>
      </c>
      <c r="S52" s="48" t="inlineStr">
        <is>
          <t>Subtelny niebieski ton na świetle (face), rozjaśnia flop. Grafitowe ziarno — uspokaja i rozjaśnia cień.</t>
        </is>
      </c>
    </row>
    <row r="53" ht="48" customHeight="1">
      <c r="A53" s="48" t="inlineStr">
        <is>
          <t>AUTOCOLOR|P426-HE04</t>
        </is>
      </c>
      <c r="B53" s="48" t="inlineStr">
        <is>
          <t>AUTOCOLOR</t>
        </is>
      </c>
      <c r="C53" s="48" t="inlineStr">
        <is>
          <t>P426-HE04</t>
        </is>
      </c>
      <c r="D53" s="48" t="inlineStr">
        <is>
          <t>P426-HE04</t>
        </is>
      </c>
      <c r="E53" s="48" t="inlineStr">
        <is>
          <t>P426-HE04/E1</t>
        </is>
      </c>
      <c r="F53" s="48" t="n">
        <v>1</v>
      </c>
      <c r="G53" s="48" t="inlineStr">
        <is>
          <t>Gold Flash</t>
        </is>
      </c>
      <c r="H53" s="48" t="inlineStr">
        <is>
          <t>2K GOLD FLASH</t>
        </is>
      </c>
      <c r="I53" s="48" t="inlineStr">
        <is>
          <t>Gold Flash</t>
        </is>
      </c>
      <c r="J53" s="48" t="inlineStr">
        <is>
          <t>Średni złoty płatek aluminiowy. Dodaje złoty błysk ziarna (nie toner konwencjonalny).</t>
        </is>
      </c>
      <c r="K53" s="48" t="inlineStr">
        <is>
          <t>g</t>
        </is>
      </c>
      <c r="L53" s="48" t="inlineStr">
        <is>
          <t>Aluminium</t>
        </is>
      </c>
      <c r="M53" s="48" t="inlineStr">
        <is>
          <t>OK</t>
        </is>
      </c>
      <c r="N53" s="48" t="inlineStr"/>
      <c r="O53" s="48" t="inlineStr">
        <is>
          <t>PDF_AUTOCOLOR</t>
        </is>
      </c>
      <c r="P53" s="48" t="inlineStr">
        <is>
          <t>TAK</t>
        </is>
      </c>
      <c r="Q53" s="48" t="inlineStr">
        <is>
          <t>TAK</t>
        </is>
      </c>
      <c r="R53" s="48" t="inlineStr">
        <is>
          <t>Medium gold aluminium flake.</t>
        </is>
      </c>
      <c r="S53" s="48" t="inlineStr">
        <is>
          <t>Średni złoty płatek aluminiowy. Dodaje złoty błysk ziarna (nie toner konwencjonalny).</t>
        </is>
      </c>
    </row>
    <row r="54" ht="48" customHeight="1">
      <c r="A54" s="48" t="inlineStr">
        <is>
          <t>AUTOCOLOR|P426-HE05</t>
        </is>
      </c>
      <c r="B54" s="48" t="inlineStr">
        <is>
          <t>AUTOCOLOR</t>
        </is>
      </c>
      <c r="C54" s="48" t="inlineStr">
        <is>
          <t>P426-HE05</t>
        </is>
      </c>
      <c r="D54" s="48" t="inlineStr">
        <is>
          <t>P426-HE05</t>
        </is>
      </c>
      <c r="E54" s="48" t="inlineStr">
        <is>
          <t>P426-HE05/E1</t>
        </is>
      </c>
      <c r="F54" s="48" t="n">
        <v>1</v>
      </c>
      <c r="G54" s="48" t="inlineStr">
        <is>
          <t>Orange Flash</t>
        </is>
      </c>
      <c r="H54" s="48" t="inlineStr">
        <is>
          <t>2K ORANGE FLASH</t>
        </is>
      </c>
      <c r="I54" s="48" t="inlineStr">
        <is>
          <t>Orange Flash</t>
        </is>
      </c>
      <c r="J54" s="48" t="inlineStr">
        <is>
          <t>Pomarańczowy płatek aluminiowy. Dodaje pomarańczowy refleks na ziarnie.</t>
        </is>
      </c>
      <c r="K54" s="48" t="inlineStr">
        <is>
          <t>g</t>
        </is>
      </c>
      <c r="L54" s="48" t="inlineStr">
        <is>
          <t>Aluminium</t>
        </is>
      </c>
      <c r="M54" s="48" t="inlineStr">
        <is>
          <t>OK</t>
        </is>
      </c>
      <c r="N54" s="48" t="inlineStr"/>
      <c r="O54" s="48" t="inlineStr">
        <is>
          <t>PDF_AUTOCOLOR</t>
        </is>
      </c>
      <c r="P54" s="48" t="inlineStr">
        <is>
          <t>TAK</t>
        </is>
      </c>
      <c r="Q54" s="48" t="inlineStr">
        <is>
          <t>TAK</t>
        </is>
      </c>
      <c r="R54" s="48" t="inlineStr">
        <is>
          <t>Orange aluminium flake.</t>
        </is>
      </c>
      <c r="S54" s="48" t="inlineStr">
        <is>
          <t>Pomarańczowy płatek aluminiowy. Dodaje pomarańczowy refleks na ziarnie.</t>
        </is>
      </c>
    </row>
    <row r="55" ht="48" customHeight="1">
      <c r="A55" s="48" t="inlineStr">
        <is>
          <t>AUTOCOLOR|P426-HE08</t>
        </is>
      </c>
      <c r="B55" s="48" t="inlineStr">
        <is>
          <t>AUTOCOLOR</t>
        </is>
      </c>
      <c r="C55" s="48" t="inlineStr">
        <is>
          <t>P426-HE08</t>
        </is>
      </c>
      <c r="D55" s="48" t="inlineStr">
        <is>
          <t>P426-HE08</t>
        </is>
      </c>
      <c r="E55" s="48" t="inlineStr">
        <is>
          <t>P426-HE08/E1</t>
        </is>
      </c>
      <c r="F55" s="48" t="n">
        <v>1</v>
      </c>
      <c r="G55" s="48" t="inlineStr">
        <is>
          <t>BLUE ALUMINIUM</t>
        </is>
      </c>
      <c r="H55" s="48" t="inlineStr">
        <is>
          <t>2K BLUE ALUMINIUM</t>
        </is>
      </c>
      <c r="I55" s="48" t="inlineStr">
        <is>
          <t>BLUE ALUMINIUM</t>
        </is>
      </c>
      <c r="J55" s="48" t="inlineStr">
        <is>
          <t>Niebieskie aluminium — barwiony płatek metaliczny, dodaje niebieski refleks na ziarnie.</t>
        </is>
      </c>
      <c r="K55" s="48" t="inlineStr">
        <is>
          <t>g</t>
        </is>
      </c>
      <c r="L55" s="48" t="inlineStr">
        <is>
          <t>Aluminium</t>
        </is>
      </c>
      <c r="M55" s="48" t="inlineStr">
        <is>
          <t>OK</t>
        </is>
      </c>
      <c r="N55" s="48" t="inlineStr"/>
      <c r="O55" s="48" t="inlineStr">
        <is>
          <t>ODS_KATALOG</t>
        </is>
      </c>
      <c r="P55" s="48" t="inlineStr">
        <is>
          <t>TAK</t>
        </is>
      </c>
      <c r="Q55" s="48" t="inlineStr">
        <is>
          <t>TAK</t>
        </is>
      </c>
      <c r="R55" s="48" t="inlineStr">
        <is>
          <t>Blue coloured aluminium flake.</t>
        </is>
      </c>
      <c r="S55" s="48" t="inlineStr">
        <is>
          <t>Niebieskie aluminium — barwiony płatek metaliczny, dodaje niebieski refleks na ziarnie.</t>
        </is>
      </c>
    </row>
    <row r="56" ht="48" customHeight="1">
      <c r="A56" s="48" t="inlineStr">
        <is>
          <t>AUTOCOLOR|P426-PP05</t>
        </is>
      </c>
      <c r="B56" s="48" t="inlineStr">
        <is>
          <t>AUTOCOLOR</t>
        </is>
      </c>
      <c r="C56" s="48" t="inlineStr">
        <is>
          <t>P426-PP05</t>
        </is>
      </c>
      <c r="D56" s="48" t="inlineStr">
        <is>
          <t>P426-PP05</t>
        </is>
      </c>
      <c r="E56" s="48" t="inlineStr">
        <is>
          <t>P426-PP05/E1</t>
        </is>
      </c>
      <c r="F56" s="48" t="n">
        <v>1</v>
      </c>
      <c r="G56" s="48" t="inlineStr">
        <is>
          <t>White Pearl</t>
        </is>
      </c>
      <c r="H56" s="48" t="inlineStr">
        <is>
          <t>2K WHITE PEARL</t>
        </is>
      </c>
      <c r="I56" s="48" t="inlineStr">
        <is>
          <t>White Pearl</t>
        </is>
      </c>
      <c r="J56" s="48" t="inlineStr">
        <is>
          <t>Czysta biel perłowa. Jaśniejsze światło (face), ciemniejszy flop niż P426-PP06. Rozjaśnia perły, pogłębia cień względem Fine White Pearl.</t>
        </is>
      </c>
      <c r="K56" s="48" t="inlineStr">
        <is>
          <t>g</t>
        </is>
      </c>
      <c r="L56" s="48" t="inlineStr">
        <is>
          <t>Perła</t>
        </is>
      </c>
      <c r="M56" s="48" t="inlineStr">
        <is>
          <t>OK</t>
        </is>
      </c>
      <c r="N56" s="48" t="inlineStr"/>
      <c r="O56" s="48" t="inlineStr">
        <is>
          <t>PDF_AUTOCOLOR</t>
        </is>
      </c>
      <c r="P56" s="48" t="inlineStr">
        <is>
          <t>TAK</t>
        </is>
      </c>
      <c r="Q56" s="48" t="inlineStr">
        <is>
          <t>TAK</t>
        </is>
      </c>
      <c r="R56" s="48" t="inlineStr">
        <is>
          <t>Clean white. Brighter face, darker flop than P426-PP06.</t>
        </is>
      </c>
      <c r="S56" s="48" t="inlineStr">
        <is>
          <t>Czysta biel perłowa. Jaśniejsze światło (face), ciemniejszy flop niż P426-PP06. Rozjaśnia perły, pogłębia cień względem Fine White Pearl.</t>
        </is>
      </c>
    </row>
    <row r="57" ht="48" customHeight="1">
      <c r="A57" s="49" t="inlineStr">
        <is>
          <t>AUTOCOLOR|P426-PP06</t>
        </is>
      </c>
      <c r="B57" s="49" t="inlineStr">
        <is>
          <t>AUTOCOLOR</t>
        </is>
      </c>
      <c r="C57" s="49" t="inlineStr">
        <is>
          <t>P426-PP06</t>
        </is>
      </c>
      <c r="D57" s="49" t="inlineStr">
        <is>
          <t>P426-PP06</t>
        </is>
      </c>
      <c r="E57" s="49" t="inlineStr">
        <is>
          <t>P426-PP06/E1</t>
        </is>
      </c>
      <c r="F57" s="49" t="n">
        <v>1</v>
      </c>
      <c r="G57" s="49" t="inlineStr">
        <is>
          <t>Fine White Pearl</t>
        </is>
      </c>
      <c r="H57" s="49" t="inlineStr">
        <is>
          <t>2K FINE PEARL WHITE</t>
        </is>
      </c>
      <c r="I57" s="49" t="inlineStr">
        <is>
          <t>Fine White Pearl</t>
        </is>
      </c>
      <c r="J57" s="49" t="inlineStr">
        <is>
          <t>Drobna biała perła. Brudniejsze światło i jaśniejszy flop niż P426-PP05. Drobniejsze ziarno, uspokaja kontrast światło/cień.</t>
        </is>
      </c>
      <c r="K57" s="49" t="inlineStr">
        <is>
          <t>g</t>
        </is>
      </c>
      <c r="L57" s="49" t="inlineStr">
        <is>
          <t>Perła</t>
        </is>
      </c>
      <c r="M57" s="49" t="inlineStr">
        <is>
          <t>KOLIZJA NAZW</t>
        </is>
      </c>
      <c r="N57" s="49" t="inlineStr">
        <is>
          <t>ODS: 2K FINE PEARL WHITE | PDF: Fine White Pearl</t>
        </is>
      </c>
      <c r="O57" s="49" t="inlineStr">
        <is>
          <t>PDF_AUTOCOLOR</t>
        </is>
      </c>
      <c r="P57" s="49" t="inlineStr">
        <is>
          <t>TAK</t>
        </is>
      </c>
      <c r="Q57" s="49" t="inlineStr">
        <is>
          <t>TAK</t>
        </is>
      </c>
      <c r="R57" s="49" t="inlineStr">
        <is>
          <t>Dirtier face and lighter flop than P426-PP05.</t>
        </is>
      </c>
      <c r="S57" s="49" t="inlineStr">
        <is>
          <t>Drobna biała perła. Brudniejsze światło i jaśniejszy flop niż P426-PP05. Drobniejsze ziarno, uspokaja kontrast światło/cień.</t>
        </is>
      </c>
    </row>
    <row r="58" ht="48" customHeight="1">
      <c r="A58" s="49" t="inlineStr">
        <is>
          <t>AUTOCOLOR|P426-PP07</t>
        </is>
      </c>
      <c r="B58" s="49" t="inlineStr">
        <is>
          <t>AUTOCOLOR</t>
        </is>
      </c>
      <c r="C58" s="49" t="inlineStr">
        <is>
          <t>P426-PP07</t>
        </is>
      </c>
      <c r="D58" s="49" t="inlineStr">
        <is>
          <t>P426-PP07</t>
        </is>
      </c>
      <c r="E58" s="49" t="inlineStr">
        <is>
          <t>P426-PP07/E1</t>
        </is>
      </c>
      <c r="F58" s="49" t="n">
        <v>1</v>
      </c>
      <c r="G58" s="49" t="inlineStr">
        <is>
          <t>Blue Pearl</t>
        </is>
      </c>
      <c r="H58" s="49" t="inlineStr">
        <is>
          <t>2K PEARL BLUE</t>
        </is>
      </c>
      <c r="I58" s="49" t="inlineStr">
        <is>
          <t>Blue Pearl</t>
        </is>
      </c>
      <c r="J58" s="49" t="inlineStr">
        <is>
          <t>Niebieskie światło (face), żółty flop. Grubsza niż P426-PP63. Perła z travel: błękit na wprost, żółć w cieniu.</t>
        </is>
      </c>
      <c r="K58" s="49" t="inlineStr">
        <is>
          <t>g</t>
        </is>
      </c>
      <c r="L58" s="49" t="inlineStr">
        <is>
          <t>Perła</t>
        </is>
      </c>
      <c r="M58" s="49" t="inlineStr">
        <is>
          <t>KOLIZJA NAZW</t>
        </is>
      </c>
      <c r="N58" s="49" t="inlineStr">
        <is>
          <t>ODS: 2K PEARL BLUE | PDF: Blue Pearl</t>
        </is>
      </c>
      <c r="O58" s="49" t="inlineStr">
        <is>
          <t>PDF_AUTOCOLOR</t>
        </is>
      </c>
      <c r="P58" s="49" t="inlineStr">
        <is>
          <t>TAK</t>
        </is>
      </c>
      <c r="Q58" s="49" t="inlineStr">
        <is>
          <t>TAK</t>
        </is>
      </c>
      <c r="R58" s="49" t="inlineStr">
        <is>
          <t>Blue face, yellow flop. Coarser than P426-PP63.</t>
        </is>
      </c>
      <c r="S58" s="49" t="inlineStr">
        <is>
          <t>Niebieskie światło (face), żółty flop. Grubsza niż P426-PP63. Perła z travel: błękit na wprost, żółć w cieniu.</t>
        </is>
      </c>
    </row>
    <row r="59" ht="48" customHeight="1">
      <c r="A59" s="48" t="inlineStr">
        <is>
          <t>AUTOCOLOR|P426-PP08</t>
        </is>
      </c>
      <c r="B59" s="48" t="inlineStr">
        <is>
          <t>AUTOCOLOR</t>
        </is>
      </c>
      <c r="C59" s="48" t="inlineStr">
        <is>
          <t>P426-PP08</t>
        </is>
      </c>
      <c r="D59" s="48" t="inlineStr">
        <is>
          <t>P426-PP08</t>
        </is>
      </c>
      <c r="E59" s="48" t="inlineStr">
        <is>
          <t>P426-PP08/E1</t>
        </is>
      </c>
      <c r="F59" s="48" t="n">
        <v>1</v>
      </c>
      <c r="G59" s="48" t="inlineStr">
        <is>
          <t>Red Pearl</t>
        </is>
      </c>
      <c r="H59" s="48" t="inlineStr">
        <is>
          <t>2K RED PEARL</t>
        </is>
      </c>
      <c r="I59" s="48" t="inlineStr">
        <is>
          <t>Red Pearl</t>
        </is>
      </c>
      <c r="J59" s="48" t="inlineStr">
        <is>
          <t>Czerwona mika, grubsza niż P426-PP62. Dodaje czerwony efekt perłowy, wyraźniejsze ziarno.</t>
        </is>
      </c>
      <c r="K59" s="48" t="inlineStr">
        <is>
          <t>g</t>
        </is>
      </c>
      <c r="L59" s="48" t="inlineStr">
        <is>
          <t>Perła</t>
        </is>
      </c>
      <c r="M59" s="48" t="inlineStr">
        <is>
          <t>OK</t>
        </is>
      </c>
      <c r="N59" s="48" t="inlineStr"/>
      <c r="O59" s="48" t="inlineStr">
        <is>
          <t>PDF_AUTOCOLOR</t>
        </is>
      </c>
      <c r="P59" s="48" t="inlineStr">
        <is>
          <t>TAK</t>
        </is>
      </c>
      <c r="Q59" s="48" t="inlineStr">
        <is>
          <t>TAK</t>
        </is>
      </c>
      <c r="R59" s="48" t="inlineStr">
        <is>
          <t>Red mica, coarser than P426-PP62.</t>
        </is>
      </c>
      <c r="S59" s="48" t="inlineStr">
        <is>
          <t>Czerwona mika, grubsza niż P426-PP62. Dodaje czerwony efekt perłowy, wyraźniejsze ziarno.</t>
        </is>
      </c>
    </row>
    <row r="60" ht="48" customHeight="1">
      <c r="A60" s="49" t="inlineStr">
        <is>
          <t>AUTOCOLOR|P426-PP09</t>
        </is>
      </c>
      <c r="B60" s="49" t="inlineStr">
        <is>
          <t>AUTOCOLOR</t>
        </is>
      </c>
      <c r="C60" s="49" t="inlineStr">
        <is>
          <t>P426-PP09</t>
        </is>
      </c>
      <c r="D60" s="49" t="inlineStr">
        <is>
          <t>P426-PP09</t>
        </is>
      </c>
      <c r="E60" s="49" t="inlineStr">
        <is>
          <t>P426-PP09/E1</t>
        </is>
      </c>
      <c r="F60" s="49" t="n">
        <v>1</v>
      </c>
      <c r="G60" s="49" t="inlineStr">
        <is>
          <t>Gold Pearl</t>
        </is>
      </c>
      <c r="H60" s="49" t="inlineStr">
        <is>
          <t>2K PEARL GOLD</t>
        </is>
      </c>
      <c r="I60" s="49" t="inlineStr">
        <is>
          <t>Gold Pearl</t>
        </is>
      </c>
      <c r="J60" s="49" t="inlineStr">
        <is>
          <t>Złote światło (face), niebieskawy flop. Złota perła z chłodniejszym cieniem.</t>
        </is>
      </c>
      <c r="K60" s="49" t="inlineStr">
        <is>
          <t>g</t>
        </is>
      </c>
      <c r="L60" s="49" t="inlineStr">
        <is>
          <t>Perła</t>
        </is>
      </c>
      <c r="M60" s="49" t="inlineStr">
        <is>
          <t>KOLIZJA NAZW</t>
        </is>
      </c>
      <c r="N60" s="49" t="inlineStr">
        <is>
          <t>ODS: 2K PEARL GOLD | PDF: Gold Pearl</t>
        </is>
      </c>
      <c r="O60" s="49" t="inlineStr">
        <is>
          <t>PDF_AUTOCOLOR</t>
        </is>
      </c>
      <c r="P60" s="49" t="inlineStr">
        <is>
          <t>TAK</t>
        </is>
      </c>
      <c r="Q60" s="49" t="inlineStr">
        <is>
          <t>TAK</t>
        </is>
      </c>
      <c r="R60" s="49" t="inlineStr">
        <is>
          <t>Gold face, bluish tone flop.</t>
        </is>
      </c>
      <c r="S60" s="49" t="inlineStr">
        <is>
          <t>Złote światło (face), niebieskawy flop. Złota perła z chłodniejszym cieniem.</t>
        </is>
      </c>
    </row>
    <row r="61" ht="48" customHeight="1">
      <c r="A61" s="48" t="inlineStr">
        <is>
          <t>AUTOCOLOR|P426-PP10</t>
        </is>
      </c>
      <c r="B61" s="48" t="inlineStr">
        <is>
          <t>AUTOCOLOR</t>
        </is>
      </c>
      <c r="C61" s="48" t="inlineStr">
        <is>
          <t>P426-PP10</t>
        </is>
      </c>
      <c r="D61" s="48" t="inlineStr">
        <is>
          <t>P426-PP10</t>
        </is>
      </c>
      <c r="E61" s="48" t="inlineStr">
        <is>
          <t>P426-PP10/E1</t>
        </is>
      </c>
      <c r="F61" s="48" t="n">
        <v>1</v>
      </c>
      <c r="G61" s="48" t="inlineStr">
        <is>
          <t>Copper Pearl</t>
        </is>
      </c>
      <c r="H61" s="48" t="inlineStr">
        <is>
          <t>2K COPPER PEARL</t>
        </is>
      </c>
      <c r="I61" s="48" t="inlineStr">
        <is>
          <t>Copper Pearl</t>
        </is>
      </c>
      <c r="J61" s="48" t="inlineStr">
        <is>
          <t>Miedziane światło (face), na flopie przechodzi w ciemną miedź. Perła z travel miedzianym.</t>
        </is>
      </c>
      <c r="K61" s="48" t="inlineStr">
        <is>
          <t>g</t>
        </is>
      </c>
      <c r="L61" s="48" t="inlineStr">
        <is>
          <t>Perła</t>
        </is>
      </c>
      <c r="M61" s="48" t="inlineStr">
        <is>
          <t>OK</t>
        </is>
      </c>
      <c r="N61" s="48" t="inlineStr"/>
      <c r="O61" s="48" t="inlineStr">
        <is>
          <t>PDF_AUTOCOLOR</t>
        </is>
      </c>
      <c r="P61" s="48" t="inlineStr">
        <is>
          <t>TAK</t>
        </is>
      </c>
      <c r="Q61" s="48" t="inlineStr">
        <is>
          <t>TAK</t>
        </is>
      </c>
      <c r="R61" s="48" t="inlineStr">
        <is>
          <t>Copper face, travels to dark copper tone on the flop.</t>
        </is>
      </c>
      <c r="S61" s="48" t="inlineStr">
        <is>
          <t>Miedziane światło (face), na flopie przechodzi w ciemną miedź. Perła z travel miedzianym.</t>
        </is>
      </c>
    </row>
    <row r="62" ht="48" customHeight="1">
      <c r="A62" s="49" t="inlineStr">
        <is>
          <t>AUTOCOLOR|P426-PP60</t>
        </is>
      </c>
      <c r="B62" s="49" t="inlineStr">
        <is>
          <t>AUTOCOLOR</t>
        </is>
      </c>
      <c r="C62" s="49" t="inlineStr">
        <is>
          <t>P426-PP60</t>
        </is>
      </c>
      <c r="D62" s="49" t="inlineStr">
        <is>
          <t>P426-PP60</t>
        </is>
      </c>
      <c r="E62" s="49" t="inlineStr">
        <is>
          <t>P426-PP60/E1</t>
        </is>
      </c>
      <c r="F62" s="49" t="n">
        <v>1</v>
      </c>
      <c r="G62" s="49" t="inlineStr">
        <is>
          <t>White Satin Pearl</t>
        </is>
      </c>
      <c r="H62" s="49" t="inlineStr">
        <is>
          <t>2K PEARL WHITE ULTRAFINE</t>
        </is>
      </c>
      <c r="I62" s="49" t="inlineStr">
        <is>
          <t>White Satin Pearl</t>
        </is>
      </c>
      <c r="J62" s="49" t="inlineStr">
        <is>
          <t>Drobne białe ziarno perłowe (satyna). Subtelna biała perła, uspokaja błysk.</t>
        </is>
      </c>
      <c r="K62" s="49" t="inlineStr">
        <is>
          <t>g</t>
        </is>
      </c>
      <c r="L62" s="49" t="inlineStr">
        <is>
          <t>Perła</t>
        </is>
      </c>
      <c r="M62" s="49" t="inlineStr">
        <is>
          <t>KOLIZJA NAZW</t>
        </is>
      </c>
      <c r="N62" s="49" t="inlineStr">
        <is>
          <t>ODS: 2K PEARL WHITE ULTRAFINE | PDF: White Satin Pearl Fine white flake.</t>
        </is>
      </c>
      <c r="O62" s="49" t="inlineStr">
        <is>
          <t>PDF_AUTOCOLOR</t>
        </is>
      </c>
      <c r="P62" s="49" t="inlineStr">
        <is>
          <t>TAK</t>
        </is>
      </c>
      <c r="Q62" s="49" t="inlineStr">
        <is>
          <t>TAK</t>
        </is>
      </c>
      <c r="R62" s="49" t="inlineStr">
        <is>
          <t>Fine white flake.</t>
        </is>
      </c>
      <c r="S62" s="49" t="inlineStr">
        <is>
          <t>Drobne białe ziarno perłowe (satyna). Subtelna biała perła, uspokaja błysk.</t>
        </is>
      </c>
    </row>
    <row r="63" ht="48" customHeight="1">
      <c r="A63" s="49" t="inlineStr">
        <is>
          <t>AUTOCOLOR|P426-PP61</t>
        </is>
      </c>
      <c r="B63" s="49" t="inlineStr">
        <is>
          <t>AUTOCOLOR</t>
        </is>
      </c>
      <c r="C63" s="49" t="inlineStr">
        <is>
          <t>P426-PP61</t>
        </is>
      </c>
      <c r="D63" s="49" t="inlineStr">
        <is>
          <t>P426-PP61</t>
        </is>
      </c>
      <c r="E63" s="49" t="inlineStr">
        <is>
          <t>P426-PP61/E1</t>
        </is>
      </c>
      <c r="F63" s="49" t="n">
        <v>1</v>
      </c>
      <c r="G63" s="49" t="inlineStr">
        <is>
          <t>Fine Red Pearl</t>
        </is>
      </c>
      <c r="H63" s="49" t="inlineStr">
        <is>
          <t>2K PEARL RED FINE</t>
        </is>
      </c>
      <c r="I63" s="49" t="inlineStr">
        <is>
          <t>Fine Red Pearl</t>
        </is>
      </c>
      <c r="J63" s="49" t="inlineStr">
        <is>
          <t>Interferencyjna czerwona mika z zielonym flopem. Czerwień na świetle, zieleń w cieniu.</t>
        </is>
      </c>
      <c r="K63" s="49" t="inlineStr">
        <is>
          <t>g</t>
        </is>
      </c>
      <c r="L63" s="49" t="inlineStr">
        <is>
          <t>Perła</t>
        </is>
      </c>
      <c r="M63" s="49" t="inlineStr">
        <is>
          <t>KOLIZJA NAZW</t>
        </is>
      </c>
      <c r="N63" s="49" t="inlineStr">
        <is>
          <t>ODS: 2K PEARL RED FINE | PDF: Fine Red Pearl</t>
        </is>
      </c>
      <c r="O63" s="49" t="inlineStr">
        <is>
          <t>PDF_AUTOCOLOR</t>
        </is>
      </c>
      <c r="P63" s="49" t="inlineStr">
        <is>
          <t>TAK</t>
        </is>
      </c>
      <c r="Q63" s="49" t="inlineStr">
        <is>
          <t>TAK</t>
        </is>
      </c>
      <c r="R63" s="49" t="inlineStr">
        <is>
          <t>Interference red mica with a green flop.</t>
        </is>
      </c>
      <c r="S63" s="49" t="inlineStr">
        <is>
          <t>Interferencyjna czerwona mika z zielonym flopem. Czerwień na świetle, zieleń w cieniu.</t>
        </is>
      </c>
    </row>
    <row r="64" ht="48" customHeight="1">
      <c r="A64" s="49" t="inlineStr">
        <is>
          <t>AUTOCOLOR|P426-PP62</t>
        </is>
      </c>
      <c r="B64" s="49" t="inlineStr">
        <is>
          <t>AUTOCOLOR</t>
        </is>
      </c>
      <c r="C64" s="49" t="inlineStr">
        <is>
          <t>P426-PP62</t>
        </is>
      </c>
      <c r="D64" s="49" t="inlineStr">
        <is>
          <t>P426-PP62</t>
        </is>
      </c>
      <c r="E64" s="49" t="inlineStr">
        <is>
          <t>P426-PP62/E1</t>
        </is>
      </c>
      <c r="F64" s="49" t="n">
        <v>1</v>
      </c>
      <c r="G64" s="49" t="inlineStr">
        <is>
          <t>Fine Russet Pearl</t>
        </is>
      </c>
      <c r="H64" s="49" t="inlineStr">
        <is>
          <t>2K RUSSET PEARL FINE</t>
        </is>
      </c>
      <c r="I64" s="49" t="inlineStr">
        <is>
          <t>Fine Russet Pearl</t>
        </is>
      </c>
      <c r="J64" s="49" t="inlineStr">
        <is>
          <t>Czerwona mika, drobniejsza niż P426-PP08. Russet perłowy o drobniejszym ziarnie.</t>
        </is>
      </c>
      <c r="K64" s="49" t="inlineStr">
        <is>
          <t>g</t>
        </is>
      </c>
      <c r="L64" s="49" t="inlineStr">
        <is>
          <t>Perła</t>
        </is>
      </c>
      <c r="M64" s="49" t="inlineStr">
        <is>
          <t>KOLIZJA NAZW</t>
        </is>
      </c>
      <c r="N64" s="49" t="inlineStr">
        <is>
          <t>ODS: 2K RUSSET PEARL FINE | PDF: Fine Russet Pearl</t>
        </is>
      </c>
      <c r="O64" s="49" t="inlineStr">
        <is>
          <t>PDF_AUTOCOLOR</t>
        </is>
      </c>
      <c r="P64" s="49" t="inlineStr">
        <is>
          <t>TAK</t>
        </is>
      </c>
      <c r="Q64" s="49" t="inlineStr">
        <is>
          <t>TAK</t>
        </is>
      </c>
      <c r="R64" s="49" t="inlineStr">
        <is>
          <t>Red mica. Finer than P426-PP08.</t>
        </is>
      </c>
      <c r="S64" s="49" t="inlineStr">
        <is>
          <t>Czerwona mika, drobniejsza niż P426-PP08. Russet perłowy o drobniejszym ziarnie.</t>
        </is>
      </c>
    </row>
    <row r="65" ht="48" customHeight="1">
      <c r="A65" s="49" t="inlineStr">
        <is>
          <t>AUTOCOLOR|P426-PP63</t>
        </is>
      </c>
      <c r="B65" s="49" t="inlineStr">
        <is>
          <t>AUTOCOLOR</t>
        </is>
      </c>
      <c r="C65" s="49" t="inlineStr">
        <is>
          <t>P426-PP63</t>
        </is>
      </c>
      <c r="D65" s="49" t="inlineStr">
        <is>
          <t>P426-PP63</t>
        </is>
      </c>
      <c r="E65" s="49" t="inlineStr">
        <is>
          <t>P426-PP63/E1</t>
        </is>
      </c>
      <c r="F65" s="49" t="n">
        <v>1</v>
      </c>
      <c r="G65" s="49" t="inlineStr">
        <is>
          <t>Fine Blue Pearl</t>
        </is>
      </c>
      <c r="H65" s="49" t="inlineStr">
        <is>
          <t>2K PEARL BLUE FINE</t>
        </is>
      </c>
      <c r="I65" s="49" t="inlineStr">
        <is>
          <t>Fine Blue Pearl</t>
        </is>
      </c>
      <c r="J65" s="49" t="inlineStr">
        <is>
          <t>Niebieskie światło, żółty flop. Drobniejsza niż P426-PP07. Ten sam travel co Blue Pearl, spokojniejsze ziarno.</t>
        </is>
      </c>
      <c r="K65" s="49" t="inlineStr">
        <is>
          <t>g</t>
        </is>
      </c>
      <c r="L65" s="49" t="inlineStr">
        <is>
          <t>Perła</t>
        </is>
      </c>
      <c r="M65" s="49" t="inlineStr">
        <is>
          <t>KOLIZJA NAZW</t>
        </is>
      </c>
      <c r="N65" s="49" t="inlineStr">
        <is>
          <t>ODS: 2K PEARL BLUE FINE | PDF: Fine Blue Pearl</t>
        </is>
      </c>
      <c r="O65" s="49" t="inlineStr">
        <is>
          <t>PDF_AUTOCOLOR</t>
        </is>
      </c>
      <c r="P65" s="49" t="inlineStr">
        <is>
          <t>TAK</t>
        </is>
      </c>
      <c r="Q65" s="49" t="inlineStr">
        <is>
          <t>TAK</t>
        </is>
      </c>
      <c r="R65" s="49" t="inlineStr">
        <is>
          <t>Blue face, yellow flop. Finer than P426-PP07.</t>
        </is>
      </c>
      <c r="S65" s="49" t="inlineStr">
        <is>
          <t>Niebieskie światło, żółty flop. Drobniejsza niż P426-PP07. Ten sam travel co Blue Pearl, spokojniejsze ziarno.</t>
        </is>
      </c>
    </row>
    <row r="66" ht="48" customHeight="1">
      <c r="A66" s="48" t="inlineStr">
        <is>
          <t>AUTOCOLOR|P426-PP64</t>
        </is>
      </c>
      <c r="B66" s="48" t="inlineStr">
        <is>
          <t>AUTOCOLOR</t>
        </is>
      </c>
      <c r="C66" s="48" t="inlineStr">
        <is>
          <t>P426-PP64</t>
        </is>
      </c>
      <c r="D66" s="48" t="inlineStr">
        <is>
          <t>P426-PP64</t>
        </is>
      </c>
      <c r="E66" s="48" t="inlineStr">
        <is>
          <t>P426-PP64/E1</t>
        </is>
      </c>
      <c r="F66" s="48" t="n">
        <v>1</v>
      </c>
      <c r="G66" s="48" t="inlineStr">
        <is>
          <t>Medium Violet Pearl</t>
        </is>
      </c>
      <c r="H66" s="48" t="inlineStr">
        <is>
          <t>2K MEDIUM VIOLET PEARL</t>
        </is>
      </c>
      <c r="I66" s="48" t="inlineStr">
        <is>
          <t>Medium Violet Pearl</t>
        </is>
      </c>
      <c r="J66" s="48" t="inlineStr">
        <is>
          <t>Liliowe światło (face), zielony flop. Fioletowa perła z zielonym cieniem.</t>
        </is>
      </c>
      <c r="K66" s="48" t="inlineStr">
        <is>
          <t>g</t>
        </is>
      </c>
      <c r="L66" s="48" t="inlineStr">
        <is>
          <t>Perła</t>
        </is>
      </c>
      <c r="M66" s="48" t="inlineStr">
        <is>
          <t>OK</t>
        </is>
      </c>
      <c r="N66" s="48" t="inlineStr"/>
      <c r="O66" s="48" t="inlineStr">
        <is>
          <t>PDF_AUTOCOLOR</t>
        </is>
      </c>
      <c r="P66" s="48" t="inlineStr">
        <is>
          <t>TAK</t>
        </is>
      </c>
      <c r="Q66" s="48" t="inlineStr">
        <is>
          <t>TAK</t>
        </is>
      </c>
      <c r="R66" s="48" t="inlineStr">
        <is>
          <t>Lilac face, green flop.</t>
        </is>
      </c>
      <c r="S66" s="48" t="inlineStr">
        <is>
          <t>Liliowe światło (face), zielony flop. Fioletowa perła z zielonym cieniem.</t>
        </is>
      </c>
    </row>
    <row r="67" ht="48" customHeight="1">
      <c r="A67" s="48" t="inlineStr">
        <is>
          <t>AUTOCOLOR|P426-PP65</t>
        </is>
      </c>
      <c r="B67" s="48" t="inlineStr">
        <is>
          <t>AUTOCOLOR</t>
        </is>
      </c>
      <c r="C67" s="48" t="inlineStr">
        <is>
          <t>P426-PP65</t>
        </is>
      </c>
      <c r="D67" s="48" t="inlineStr">
        <is>
          <t>P426-PP65</t>
        </is>
      </c>
      <c r="E67" s="48" t="inlineStr">
        <is>
          <t>P426-PP65/E1</t>
        </is>
      </c>
      <c r="F67" s="48" t="n">
        <v>1</v>
      </c>
      <c r="G67" s="48" t="inlineStr">
        <is>
          <t>Medium Green Pearl</t>
        </is>
      </c>
      <c r="H67" s="48" t="inlineStr">
        <is>
          <t>2K MEDIUM GREEN PEARL</t>
        </is>
      </c>
      <c r="I67" s="48" t="inlineStr">
        <is>
          <t>Medium Green Pearl</t>
        </is>
      </c>
      <c r="J67" s="48" t="inlineStr">
        <is>
          <t>Zielone światło (face), czerwonawy flop. Zielona perła z ciepłym cieniem.</t>
        </is>
      </c>
      <c r="K67" s="48" t="inlineStr">
        <is>
          <t>g</t>
        </is>
      </c>
      <c r="L67" s="48" t="inlineStr">
        <is>
          <t>Perła</t>
        </is>
      </c>
      <c r="M67" s="48" t="inlineStr">
        <is>
          <t>OK</t>
        </is>
      </c>
      <c r="N67" s="48" t="inlineStr"/>
      <c r="O67" s="48" t="inlineStr">
        <is>
          <t>PDF_AUTOCOLOR</t>
        </is>
      </c>
      <c r="P67" s="48" t="inlineStr">
        <is>
          <t>TAK</t>
        </is>
      </c>
      <c r="Q67" s="48" t="inlineStr">
        <is>
          <t>TAK</t>
        </is>
      </c>
      <c r="R67" s="48" t="inlineStr">
        <is>
          <t>Green face, reddish tone flop.</t>
        </is>
      </c>
      <c r="S67" s="48" t="inlineStr">
        <is>
          <t>Zielone światło (face), czerwonawy flop. Zielona perła z ciepłym cieniem.</t>
        </is>
      </c>
    </row>
    <row r="68" ht="48" customHeight="1">
      <c r="A68" s="49" t="inlineStr">
        <is>
          <t>AUTOCOLOR|P426-PP68</t>
        </is>
      </c>
      <c r="B68" s="49" t="inlineStr">
        <is>
          <t>AUTOCOLOR</t>
        </is>
      </c>
      <c r="C68" s="49" t="inlineStr">
        <is>
          <t>P426-PP68</t>
        </is>
      </c>
      <c r="D68" s="49" t="inlineStr">
        <is>
          <t>P426-PP68</t>
        </is>
      </c>
      <c r="E68" s="49" t="inlineStr">
        <is>
          <t>P426-PP68/E0.33</t>
        </is>
      </c>
      <c r="F68" s="49" t="n">
        <v>0.33</v>
      </c>
      <c r="G68" s="49" t="inlineStr">
        <is>
          <t>Orange Pearl</t>
        </is>
      </c>
      <c r="H68" s="49" t="inlineStr">
        <is>
          <t>2K PEARL ORANGE</t>
        </is>
      </c>
      <c r="I68" s="49" t="inlineStr">
        <is>
          <t>Orange Pearl</t>
        </is>
      </c>
      <c r="J68" s="49" t="inlineStr">
        <is>
          <t>Czyste pomarańczowe światło (face), zielony flop. Czysta pomarańcz perłowa z chłodniejszym cieniem.</t>
        </is>
      </c>
      <c r="K68" s="49" t="inlineStr">
        <is>
          <t>g</t>
        </is>
      </c>
      <c r="L68" s="49" t="inlineStr">
        <is>
          <t>Perła</t>
        </is>
      </c>
      <c r="M68" s="49" t="inlineStr">
        <is>
          <t>KOLIZJA NAZW</t>
        </is>
      </c>
      <c r="N68" s="49" t="inlineStr">
        <is>
          <t>ODS: 2K PEARL ORANGE | PDF: Orange Pearl</t>
        </is>
      </c>
      <c r="O68" s="49" t="inlineStr">
        <is>
          <t>PDF_AUTOCOLOR</t>
        </is>
      </c>
      <c r="P68" s="49" t="inlineStr">
        <is>
          <t>TAK</t>
        </is>
      </c>
      <c r="Q68" s="49" t="inlineStr">
        <is>
          <t>TAK</t>
        </is>
      </c>
      <c r="R68" s="49" t="inlineStr">
        <is>
          <t>Clean orange face, green tone flop.</t>
        </is>
      </c>
      <c r="S68" s="49" t="inlineStr">
        <is>
          <t>Czyste pomarańczowe światło (face), zielony flop. Czysta pomarańcz perłowa z chłodniejszym cieniem.</t>
        </is>
      </c>
    </row>
    <row r="69" ht="48" customHeight="1">
      <c r="A69" s="48" t="inlineStr">
        <is>
          <t>AUTOCOLOR|P429-914</t>
        </is>
      </c>
      <c r="B69" s="48" t="inlineStr">
        <is>
          <t>AUTOCOLOR</t>
        </is>
      </c>
      <c r="C69" s="48" t="inlineStr">
        <is>
          <t>P429-914</t>
        </is>
      </c>
      <c r="D69" s="48" t="inlineStr">
        <is>
          <t>P429-914</t>
        </is>
      </c>
      <c r="E69" s="48" t="inlineStr">
        <is>
          <t>P429-914/E1</t>
        </is>
      </c>
      <c r="F69" s="48" t="n">
        <v>1</v>
      </c>
      <c r="G69" s="48" t="inlineStr">
        <is>
          <t>HS CLEAN BLUE VIOLET</t>
        </is>
      </c>
      <c r="H69" s="48" t="inlineStr">
        <is>
          <t>2K HS CLEAN BLUE VIOLET</t>
        </is>
      </c>
      <c r="I69" s="48" t="inlineStr">
        <is>
          <t>HS CLEAN BLUE VIOLET</t>
        </is>
      </c>
      <c r="J69" s="48" t="inlineStr">
        <is>
          <t>Czysty fiolet o niebieskim odcieniu (HS). Chłodny, czysty ton — korekta w stronę niebieskiego fioletu.</t>
        </is>
      </c>
      <c r="K69" s="48" t="inlineStr">
        <is>
          <t>g</t>
        </is>
      </c>
      <c r="L69" s="48" t="inlineStr">
        <is>
          <t>Toner</t>
        </is>
      </c>
      <c r="M69" s="48" t="inlineStr">
        <is>
          <t>OK</t>
        </is>
      </c>
      <c r="N69" s="48" t="inlineStr"/>
      <c r="O69" s="48" t="inlineStr">
        <is>
          <t>ODS_KATALOG</t>
        </is>
      </c>
      <c r="P69" s="48" t="inlineStr">
        <is>
          <t>TAK</t>
        </is>
      </c>
      <c r="Q69" s="48" t="inlineStr">
        <is>
          <t>TAK</t>
        </is>
      </c>
      <c r="R69" s="48" t="inlineStr">
        <is>
          <t>Clean blue-shade violet HS toner.</t>
        </is>
      </c>
      <c r="S69" s="48" t="inlineStr">
        <is>
          <t>Czysty fiolet o niebieskim odcieniu (HS). Chłodny, czysty ton — korekta w stronę niebieskiego fioletu.</t>
        </is>
      </c>
    </row>
    <row r="70" ht="48" customHeight="1">
      <c r="A70" s="48" t="inlineStr">
        <is>
          <t>AUTOCOLOR|P429-917</t>
        </is>
      </c>
      <c r="B70" s="48" t="inlineStr">
        <is>
          <t>AUTOCOLOR</t>
        </is>
      </c>
      <c r="C70" s="48" t="inlineStr">
        <is>
          <t>P429-917</t>
        </is>
      </c>
      <c r="D70" s="48" t="inlineStr">
        <is>
          <t>P429-917</t>
        </is>
      </c>
      <c r="E70" s="48" t="inlineStr">
        <is>
          <t>P429-917/E1</t>
        </is>
      </c>
      <c r="F70" s="48" t="n">
        <v>1</v>
      </c>
      <c r="G70" s="48" t="inlineStr">
        <is>
          <t>HS GREEN GOLD</t>
        </is>
      </c>
      <c r="H70" s="48" t="inlineStr">
        <is>
          <t>2K HS GREEN GOLD</t>
        </is>
      </c>
      <c r="I70" s="48" t="inlineStr">
        <is>
          <t>HS GREEN GOLD</t>
        </is>
      </c>
      <c r="J70" s="48" t="inlineStr">
        <is>
          <t>Złoto-zielony toner HS. Dodaje złocistą zieleń na świetle, ciepły zielonożółty ton.</t>
        </is>
      </c>
      <c r="K70" s="48" t="inlineStr">
        <is>
          <t>g</t>
        </is>
      </c>
      <c r="L70" s="48" t="inlineStr">
        <is>
          <t>Toner</t>
        </is>
      </c>
      <c r="M70" s="48" t="inlineStr">
        <is>
          <t>OK</t>
        </is>
      </c>
      <c r="N70" s="48" t="inlineStr"/>
      <c r="O70" s="48" t="inlineStr">
        <is>
          <t>ODS_KATALOG</t>
        </is>
      </c>
      <c r="P70" s="48" t="inlineStr">
        <is>
          <t>TAK</t>
        </is>
      </c>
      <c r="Q70" s="48" t="inlineStr">
        <is>
          <t>TAK</t>
        </is>
      </c>
      <c r="R70" s="48" t="inlineStr">
        <is>
          <t>Green-gold HS toner.</t>
        </is>
      </c>
      <c r="S70" s="48" t="inlineStr">
        <is>
          <t>Złoto-zielony toner HS. Dodaje złocistą zieleń na świetle, ciepły zielonożółty ton.</t>
        </is>
      </c>
    </row>
    <row r="71" ht="48" customHeight="1">
      <c r="A71" s="48" t="inlineStr">
        <is>
          <t>AUTOCOLOR|P429-923</t>
        </is>
      </c>
      <c r="B71" s="48" t="inlineStr">
        <is>
          <t>AUTOCOLOR</t>
        </is>
      </c>
      <c r="C71" s="48" t="inlineStr">
        <is>
          <t>P429-923</t>
        </is>
      </c>
      <c r="D71" s="48" t="inlineStr">
        <is>
          <t>P429-923</t>
        </is>
      </c>
      <c r="E71" s="48" t="inlineStr">
        <is>
          <t>P429-923/E1</t>
        </is>
      </c>
      <c r="F71" s="48" t="n">
        <v>1</v>
      </c>
      <c r="G71" s="48" t="inlineStr">
        <is>
          <t>HS Bright Maroon</t>
        </is>
      </c>
      <c r="H71" s="48" t="inlineStr">
        <is>
          <t>2K BRIGHT MAROON</t>
        </is>
      </c>
      <c r="I71" s="48" t="inlineStr">
        <is>
          <t>HS Bright Maroon</t>
        </is>
      </c>
      <c r="J71" s="48" t="inlineStr">
        <is>
          <t>Transparentny bordo o środkowym odcieniu, ciemny flop. Ściemia i czerwieni w cieniu, bez silnego krycia.</t>
        </is>
      </c>
      <c r="K71" s="48" t="inlineStr">
        <is>
          <t>g</t>
        </is>
      </c>
      <c r="L71" s="48" t="inlineStr">
        <is>
          <t>Toner</t>
        </is>
      </c>
      <c r="M71" s="48" t="inlineStr">
        <is>
          <t>OK</t>
        </is>
      </c>
      <c r="N71" s="48" t="inlineStr"/>
      <c r="O71" s="48" t="inlineStr">
        <is>
          <t>PDF_AUTOCOLOR</t>
        </is>
      </c>
      <c r="P71" s="48" t="inlineStr">
        <is>
          <t>TAK</t>
        </is>
      </c>
      <c r="Q71" s="48" t="inlineStr">
        <is>
          <t>TAK</t>
        </is>
      </c>
      <c r="R71" s="48" t="inlineStr">
        <is>
          <t>Mid-shade transparent maroon, dark flop.</t>
        </is>
      </c>
      <c r="S71" s="48" t="inlineStr">
        <is>
          <t>Transparentny bordo o środkowym odcieniu, ciemny flop. Ściemia i czerwieni w cieniu, bez silnego krycia.</t>
        </is>
      </c>
    </row>
    <row r="72" ht="48" customHeight="1">
      <c r="A72" s="48" t="inlineStr">
        <is>
          <t>AUTOCOLOR|P429-932</t>
        </is>
      </c>
      <c r="B72" s="48" t="inlineStr">
        <is>
          <t>AUTOCOLOR</t>
        </is>
      </c>
      <c r="C72" s="48" t="inlineStr">
        <is>
          <t>P429-932</t>
        </is>
      </c>
      <c r="D72" s="48" t="inlineStr">
        <is>
          <t>P429-932</t>
        </is>
      </c>
      <c r="E72" s="48" t="inlineStr">
        <is>
          <t>P429-932/E1</t>
        </is>
      </c>
      <c r="F72" s="48" t="n">
        <v>1</v>
      </c>
      <c r="G72" s="48" t="inlineStr">
        <is>
          <t>HS CLEAN ORGANIC ORANGE</t>
        </is>
      </c>
      <c r="H72" s="48" t="inlineStr">
        <is>
          <t>2K HS CLEAN ORGANIC ORANGE</t>
        </is>
      </c>
      <c r="I72" s="48" t="inlineStr">
        <is>
          <t>HS CLEAN ORGANIC ORANGE</t>
        </is>
      </c>
      <c r="J72" s="48" t="inlineStr">
        <is>
          <t>Czysta organiczna pomarańcz HS. Nasycony, czysty ton pomarańczowy (nie tlenkowy).</t>
        </is>
      </c>
      <c r="K72" s="48" t="inlineStr">
        <is>
          <t>g</t>
        </is>
      </c>
      <c r="L72" s="48" t="inlineStr">
        <is>
          <t>Toner</t>
        </is>
      </c>
      <c r="M72" s="48" t="inlineStr">
        <is>
          <t>OK</t>
        </is>
      </c>
      <c r="N72" s="48" t="inlineStr"/>
      <c r="O72" s="48" t="inlineStr">
        <is>
          <t>ODS_KATALOG</t>
        </is>
      </c>
      <c r="P72" s="48" t="inlineStr">
        <is>
          <t>TAK</t>
        </is>
      </c>
      <c r="Q72" s="48" t="inlineStr">
        <is>
          <t>TAK</t>
        </is>
      </c>
      <c r="R72" s="48" t="inlineStr">
        <is>
          <t>Clean organic orange HS toner.</t>
        </is>
      </c>
      <c r="S72" s="48" t="inlineStr">
        <is>
          <t>Czysta organiczna pomarańcz HS. Nasycony, czysty ton pomarańczowy (nie tlenkowy).</t>
        </is>
      </c>
    </row>
    <row r="73" ht="48" customHeight="1">
      <c r="A73" s="48" t="inlineStr">
        <is>
          <t>AUTOCOLOR|P429-937</t>
        </is>
      </c>
      <c r="B73" s="48" t="inlineStr">
        <is>
          <t>AUTOCOLOR</t>
        </is>
      </c>
      <c r="C73" s="48" t="inlineStr">
        <is>
          <t>P429-937</t>
        </is>
      </c>
      <c r="D73" s="48" t="inlineStr">
        <is>
          <t>P429-937</t>
        </is>
      </c>
      <c r="E73" s="48" t="inlineStr">
        <is>
          <t>P429-937/E1</t>
        </is>
      </c>
      <c r="F73" s="48" t="n">
        <v>1</v>
      </c>
      <c r="G73" s="48" t="inlineStr">
        <is>
          <t>HS Pale Yellow</t>
        </is>
      </c>
      <c r="H73" s="48" t="inlineStr">
        <is>
          <t>2K PALE YELLOW</t>
        </is>
      </c>
      <c r="I73" s="48" t="inlineStr">
        <is>
          <t>HS Pale Yellow</t>
        </is>
      </c>
      <c r="J73" s="48" t="inlineStr">
        <is>
          <t>Żółty o zielonym odcieniu, z zielonym flopem. Chłodna, blada żółć — rozjaśnia w stronę zieleni.</t>
        </is>
      </c>
      <c r="K73" s="48" t="inlineStr">
        <is>
          <t>g</t>
        </is>
      </c>
      <c r="L73" s="48" t="inlineStr">
        <is>
          <t>Toner</t>
        </is>
      </c>
      <c r="M73" s="48" t="inlineStr">
        <is>
          <t>OK</t>
        </is>
      </c>
      <c r="N73" s="48" t="inlineStr"/>
      <c r="O73" s="48" t="inlineStr">
        <is>
          <t>PDF_AUTOCOLOR</t>
        </is>
      </c>
      <c r="P73" s="48" t="inlineStr">
        <is>
          <t>TAK</t>
        </is>
      </c>
      <c r="Q73" s="48" t="inlineStr">
        <is>
          <t>TAK</t>
        </is>
      </c>
      <c r="R73" s="48" t="inlineStr">
        <is>
          <t>Green shade yellow with a green shade flop.</t>
        </is>
      </c>
      <c r="S73" s="48" t="inlineStr">
        <is>
          <t>Żółty o zielonym odcieniu, z zielonym flopem. Chłodna, blada żółć — rozjaśnia w stronę zieleni.</t>
        </is>
      </c>
    </row>
    <row r="74" ht="48" customHeight="1">
      <c r="A74" s="48" t="inlineStr">
        <is>
          <t>AUTOCOLOR|P429-961</t>
        </is>
      </c>
      <c r="B74" s="48" t="inlineStr">
        <is>
          <t>AUTOCOLOR</t>
        </is>
      </c>
      <c r="C74" s="48" t="inlineStr">
        <is>
          <t>P429-961</t>
        </is>
      </c>
      <c r="D74" s="48" t="inlineStr">
        <is>
          <t>P429-961</t>
        </is>
      </c>
      <c r="E74" s="48" t="inlineStr">
        <is>
          <t>P429-961/E1</t>
        </is>
      </c>
      <c r="F74" s="48" t="n">
        <v>1</v>
      </c>
      <c r="G74" s="48" t="inlineStr">
        <is>
          <t>HS Clean Magenta</t>
        </is>
      </c>
      <c r="H74" s="48" t="inlineStr">
        <is>
          <t>2K CLEAN MAGENTA</t>
        </is>
      </c>
      <c r="I74" s="48" t="inlineStr">
        <is>
          <t>HS Clean Magenta</t>
        </is>
      </c>
      <c r="J74" s="48" t="inlineStr">
        <is>
          <t>Czysty fiolet o niebieskim tonie, ciemniejszy flop niż P425-921. Chłodna magenta, głębszy cień.</t>
        </is>
      </c>
      <c r="K74" s="48" t="inlineStr">
        <is>
          <t>g</t>
        </is>
      </c>
      <c r="L74" s="48" t="inlineStr">
        <is>
          <t>Toner</t>
        </is>
      </c>
      <c r="M74" s="48" t="inlineStr">
        <is>
          <t>OK</t>
        </is>
      </c>
      <c r="N74" s="48" t="inlineStr"/>
      <c r="O74" s="48" t="inlineStr">
        <is>
          <t>PDF_AUTOCOLOR</t>
        </is>
      </c>
      <c r="P74" s="48" t="inlineStr">
        <is>
          <t>TAK</t>
        </is>
      </c>
      <c r="Q74" s="48" t="inlineStr">
        <is>
          <t>TAK</t>
        </is>
      </c>
      <c r="R74" s="48" t="inlineStr">
        <is>
          <t>Clean blue tone violet, darker flop than P425-921.</t>
        </is>
      </c>
      <c r="S74" s="48" t="inlineStr">
        <is>
          <t>Czysty fiolet o niebieskim tonie, ciemniejszy flop niż P425-921. Chłodna magenta, głębszy cień.</t>
        </is>
      </c>
    </row>
    <row r="75" ht="48" customHeight="1">
      <c r="A75" s="48" t="inlineStr">
        <is>
          <t>AUTOCOLOR|P429-967</t>
        </is>
      </c>
      <c r="B75" s="48" t="inlineStr">
        <is>
          <t>AUTOCOLOR</t>
        </is>
      </c>
      <c r="C75" s="48" t="inlineStr">
        <is>
          <t>P429-967</t>
        </is>
      </c>
      <c r="D75" s="48" t="inlineStr">
        <is>
          <t>P429-967</t>
        </is>
      </c>
      <c r="E75" s="48" t="inlineStr">
        <is>
          <t>P429-967/E1</t>
        </is>
      </c>
      <c r="F75" s="48" t="n">
        <v>1</v>
      </c>
      <c r="G75" s="48" t="inlineStr">
        <is>
          <t>HS Deep Angle Black</t>
        </is>
      </c>
      <c r="H75" s="48" t="inlineStr">
        <is>
          <t>2K DEEP ANGLE BLACK</t>
        </is>
      </c>
      <c r="I75" s="48" t="inlineStr">
        <is>
          <t>HS Deep Angle Black</t>
        </is>
      </c>
      <c r="J75" s="48" t="inlineStr">
        <is>
          <t>Czerń o żółtym odcieniu, najciemniejszy flop. Najgłębszy cień spośród czerni 2K — ściemia kąt duży.</t>
        </is>
      </c>
      <c r="K75" s="48" t="inlineStr">
        <is>
          <t>g</t>
        </is>
      </c>
      <c r="L75" s="48" t="inlineStr">
        <is>
          <t>Czerń/Biel</t>
        </is>
      </c>
      <c r="M75" s="48" t="inlineStr">
        <is>
          <t>OK</t>
        </is>
      </c>
      <c r="N75" s="48" t="inlineStr"/>
      <c r="O75" s="48" t="inlineStr">
        <is>
          <t>PDF_AUTOCOLOR</t>
        </is>
      </c>
      <c r="P75" s="48" t="inlineStr">
        <is>
          <t>TAK</t>
        </is>
      </c>
      <c r="Q75" s="48" t="inlineStr">
        <is>
          <t>TAK</t>
        </is>
      </c>
      <c r="R75" s="48" t="inlineStr">
        <is>
          <t>Yellow-shade black, darkest flop.</t>
        </is>
      </c>
      <c r="S75" s="48" t="inlineStr">
        <is>
          <t>Czerń o żółtym odcieniu, najciemniejszy flop. Najgłębszy cień spośród czerni 2K — ściemia kąt duży.</t>
        </is>
      </c>
    </row>
    <row r="76" ht="48" customHeight="1">
      <c r="A76" s="48" t="inlineStr">
        <is>
          <t>AUTOCOLOR|P429-972</t>
        </is>
      </c>
      <c r="B76" s="48" t="inlineStr">
        <is>
          <t>AUTOCOLOR</t>
        </is>
      </c>
      <c r="C76" s="48" t="inlineStr">
        <is>
          <t>P429-972</t>
        </is>
      </c>
      <c r="D76" s="48" t="inlineStr">
        <is>
          <t>P429-972</t>
        </is>
      </c>
      <c r="E76" s="48" t="inlineStr">
        <is>
          <t>P429-972/E1</t>
        </is>
      </c>
      <c r="F76" s="48" t="n">
        <v>1</v>
      </c>
      <c r="G76" s="48" t="inlineStr">
        <is>
          <t>HS Bright Amber</t>
        </is>
      </c>
      <c r="H76" s="48" t="inlineStr">
        <is>
          <t>2K BRIGHT AMBER</t>
        </is>
      </c>
      <c r="I76" s="48" t="inlineStr">
        <is>
          <t>HS Bright Amber</t>
        </is>
      </c>
      <c r="J76" s="48" t="inlineStr">
        <is>
          <t>Jasna pomarańcz, głównie kolory solid. Czystsza niż P420-982 i P420-983.</t>
        </is>
      </c>
      <c r="K76" s="48" t="inlineStr">
        <is>
          <t>g</t>
        </is>
      </c>
      <c r="L76" s="48" t="inlineStr">
        <is>
          <t>Toner</t>
        </is>
      </c>
      <c r="M76" s="48" t="inlineStr">
        <is>
          <t>OK</t>
        </is>
      </c>
      <c r="N76" s="48" t="inlineStr"/>
      <c r="O76" s="48" t="inlineStr">
        <is>
          <t>PDF_AUTOCOLOR</t>
        </is>
      </c>
      <c r="P76" s="48" t="inlineStr">
        <is>
          <t>TAK</t>
        </is>
      </c>
      <c r="Q76" s="48" t="inlineStr">
        <is>
          <t>TAK</t>
        </is>
      </c>
      <c r="R76" s="48" t="inlineStr">
        <is>
          <t>Bright orange used primarily in solid colours. Cleaner than P420-982 and P420-983.</t>
        </is>
      </c>
      <c r="S76" s="48" t="inlineStr">
        <is>
          <t>Jasna pomarańcz, głównie kolory solid. Czystsza niż P420-982 i P420-983.</t>
        </is>
      </c>
    </row>
    <row r="77" ht="48" customHeight="1">
      <c r="A77" s="48" t="inlineStr">
        <is>
          <t>AUTOCOLOR|P429-973</t>
        </is>
      </c>
      <c r="B77" s="48" t="inlineStr">
        <is>
          <t>AUTOCOLOR</t>
        </is>
      </c>
      <c r="C77" s="48" t="inlineStr">
        <is>
          <t>P429-973</t>
        </is>
      </c>
      <c r="D77" s="48" t="inlineStr">
        <is>
          <t>P429-973</t>
        </is>
      </c>
      <c r="E77" s="48" t="inlineStr">
        <is>
          <t>P429-973/E1</t>
        </is>
      </c>
      <c r="F77" s="48" t="n">
        <v>1</v>
      </c>
      <c r="G77" s="48" t="inlineStr">
        <is>
          <t>HS Bright Orange</t>
        </is>
      </c>
      <c r="H77" s="48" t="inlineStr">
        <is>
          <t>2K BRIGHT ORANGE</t>
        </is>
      </c>
      <c r="I77" s="48" t="inlineStr">
        <is>
          <t>HS Bright Orange</t>
        </is>
      </c>
      <c r="J77" s="48" t="inlineStr">
        <is>
          <t>Pomarańcz o czerwonym odcieniu. Ciepła, czerwona pomarańcz do korekty tonu.</t>
        </is>
      </c>
      <c r="K77" s="48" t="inlineStr">
        <is>
          <t>g</t>
        </is>
      </c>
      <c r="L77" s="48" t="inlineStr">
        <is>
          <t>Toner</t>
        </is>
      </c>
      <c r="M77" s="48" t="inlineStr">
        <is>
          <t>OK</t>
        </is>
      </c>
      <c r="N77" s="48" t="inlineStr"/>
      <c r="O77" s="48" t="inlineStr">
        <is>
          <t>PDF_AUTOCOLOR</t>
        </is>
      </c>
      <c r="P77" s="48" t="inlineStr">
        <is>
          <t>TAK</t>
        </is>
      </c>
      <c r="Q77" s="48" t="inlineStr">
        <is>
          <t>TAK</t>
        </is>
      </c>
      <c r="R77" s="48" t="inlineStr">
        <is>
          <t>Red shade orange.</t>
        </is>
      </c>
      <c r="S77" s="48" t="inlineStr">
        <is>
          <t>Pomarańcz o czerwonym odcieniu. Ciepła, czerwona pomarańcz do korekty tonu.</t>
        </is>
      </c>
    </row>
    <row r="78" ht="48" customHeight="1">
      <c r="A78" s="48" t="inlineStr">
        <is>
          <t>AUTOCOLOR|P429-976</t>
        </is>
      </c>
      <c r="B78" s="48" t="inlineStr">
        <is>
          <t>AUTOCOLOR</t>
        </is>
      </c>
      <c r="C78" s="48" t="inlineStr">
        <is>
          <t>P429-976</t>
        </is>
      </c>
      <c r="D78" s="48" t="inlineStr">
        <is>
          <t>P429-976</t>
        </is>
      </c>
      <c r="E78" s="48" t="inlineStr">
        <is>
          <t>P429-976/E1</t>
        </is>
      </c>
      <c r="F78" s="48" t="n">
        <v>1</v>
      </c>
      <c r="G78" s="48" t="inlineStr">
        <is>
          <t>HS Red Violet</t>
        </is>
      </c>
      <c r="H78" s="48" t="inlineStr">
        <is>
          <t>2K RED VIOLET</t>
        </is>
      </c>
      <c r="I78" s="48" t="inlineStr">
        <is>
          <t>HS Red Violet</t>
        </is>
      </c>
      <c r="J78" s="48" t="inlineStr">
        <is>
          <t>Fiolet czerwony HS. Pełna moc odpowiednika RT Burgundy (P420-960RT).</t>
        </is>
      </c>
      <c r="K78" s="48" t="inlineStr">
        <is>
          <t>g</t>
        </is>
      </c>
      <c r="L78" s="48" t="inlineStr">
        <is>
          <t>Toner</t>
        </is>
      </c>
      <c r="M78" s="48" t="inlineStr">
        <is>
          <t>OK</t>
        </is>
      </c>
      <c r="N78" s="48" t="inlineStr"/>
      <c r="O78" s="48" t="inlineStr">
        <is>
          <t>PDF_AUTOCOLOR</t>
        </is>
      </c>
      <c r="P78" s="48" t="inlineStr">
        <is>
          <t>TAK</t>
        </is>
      </c>
      <c r="Q78" s="48" t="inlineStr">
        <is>
          <t>TAK</t>
        </is>
      </c>
      <c r="R78" s="48" t="inlineStr">
        <is>
          <t>Red violet HS. Full-strength counterpart of RT Burgundy P420-960RT.</t>
        </is>
      </c>
      <c r="S78" s="48" t="inlineStr">
        <is>
          <t>Fiolet czerwony HS. Pełna moc odpowiednika RT Burgundy (P420-960RT).</t>
        </is>
      </c>
    </row>
    <row r="79" ht="48" customHeight="1">
      <c r="A79" s="48" t="inlineStr">
        <is>
          <t>AUTOCOLOR|P429-980</t>
        </is>
      </c>
      <c r="B79" s="48" t="inlineStr">
        <is>
          <t>AUTOCOLOR</t>
        </is>
      </c>
      <c r="C79" s="48" t="inlineStr">
        <is>
          <t>P429-980</t>
        </is>
      </c>
      <c r="D79" s="48" t="inlineStr">
        <is>
          <t>P429-980</t>
        </is>
      </c>
      <c r="E79" s="48" t="inlineStr">
        <is>
          <t>P429-980/E1</t>
        </is>
      </c>
      <c r="F79" s="48" t="n">
        <v>1</v>
      </c>
      <c r="G79" s="48" t="inlineStr">
        <is>
          <t>HS Speed Red</t>
        </is>
      </c>
      <c r="H79" s="48" t="inlineStr">
        <is>
          <t>2K SPEED RED</t>
        </is>
      </c>
      <c r="I79" s="48" t="inlineStr">
        <is>
          <t>HS Speed Red</t>
        </is>
      </c>
      <c r="J79" s="48" t="inlineStr">
        <is>
          <t>Jasna, czysta czerwień — głównie kolory solid, zwykle powyżej 20% udziału. Silna, czysta czerwień solid.</t>
        </is>
      </c>
      <c r="K79" s="48" t="inlineStr">
        <is>
          <t>g</t>
        </is>
      </c>
      <c r="L79" s="48" t="inlineStr">
        <is>
          <t>Toner</t>
        </is>
      </c>
      <c r="M79" s="48" t="inlineStr">
        <is>
          <t>OK</t>
        </is>
      </c>
      <c r="N79" s="48" t="inlineStr"/>
      <c r="O79" s="48" t="inlineStr">
        <is>
          <t>PDF_AUTOCOLOR</t>
        </is>
      </c>
      <c r="P79" s="48" t="inlineStr">
        <is>
          <t>TAK</t>
        </is>
      </c>
      <c r="Q79" s="48" t="inlineStr">
        <is>
          <t>TAK</t>
        </is>
      </c>
      <c r="R79" s="48" t="inlineStr">
        <is>
          <t>Bright clean red, used primarily in solid colours above 20%.</t>
        </is>
      </c>
      <c r="S79" s="48" t="inlineStr">
        <is>
          <t>Jasna, czysta czerwień — głównie kolory solid, zwykle powyżej 20% udziału. Silna, czysta czerwień solid.</t>
        </is>
      </c>
    </row>
    <row r="80" ht="48" customHeight="1">
      <c r="A80" s="48" t="inlineStr">
        <is>
          <t>AUTOCOLOR|P429-981</t>
        </is>
      </c>
      <c r="B80" s="48" t="inlineStr">
        <is>
          <t>AUTOCOLOR</t>
        </is>
      </c>
      <c r="C80" s="48" t="inlineStr">
        <is>
          <t>P429-981</t>
        </is>
      </c>
      <c r="D80" s="48" t="inlineStr">
        <is>
          <t>P429-981</t>
        </is>
      </c>
      <c r="E80" s="48" t="inlineStr">
        <is>
          <t>P429-981/E1</t>
        </is>
      </c>
      <c r="F80" s="48" t="n">
        <v>1</v>
      </c>
      <c r="G80" s="48" t="inlineStr">
        <is>
          <t>Transparent Gold</t>
        </is>
      </c>
      <c r="H80" s="48" t="inlineStr">
        <is>
          <t>2K Transparent Gold</t>
        </is>
      </c>
      <c r="I80" s="48" t="inlineStr">
        <is>
          <t>Transparent Gold</t>
        </is>
      </c>
      <c r="J80" s="48" t="inlineStr">
        <is>
          <t>Transparentne złoto. Dodaje złoty ton bez silnego krycia; ociepla światło, słabiej buduje flop.</t>
        </is>
      </c>
      <c r="K80" s="48" t="inlineStr">
        <is>
          <t>g</t>
        </is>
      </c>
      <c r="L80" s="48" t="inlineStr">
        <is>
          <t>Toner</t>
        </is>
      </c>
      <c r="M80" s="48" t="inlineStr">
        <is>
          <t>OK</t>
        </is>
      </c>
      <c r="N80" s="48" t="inlineStr"/>
      <c r="O80" s="48" t="inlineStr">
        <is>
          <t>ODS_KATALOG</t>
        </is>
      </c>
      <c r="P80" s="48" t="inlineStr">
        <is>
          <t>TAK</t>
        </is>
      </c>
      <c r="Q80" s="48" t="inlineStr">
        <is>
          <t>TAK</t>
        </is>
      </c>
      <c r="R80" s="48" t="inlineStr">
        <is>
          <t>Transparent gold toner.</t>
        </is>
      </c>
      <c r="S80" s="48" t="inlineStr">
        <is>
          <t>Transparentne złoto. Dodaje złoty ton bez silnego krycia; ociepla światło, słabiej buduje flop.</t>
        </is>
      </c>
    </row>
    <row r="81" ht="48" customHeight="1">
      <c r="A81" s="48" t="inlineStr">
        <is>
          <t>AUTOCOLOR|P433-XR10</t>
        </is>
      </c>
      <c r="B81" s="48" t="inlineStr">
        <is>
          <t>AUTOCOLOR</t>
        </is>
      </c>
      <c r="C81" s="48" t="inlineStr">
        <is>
          <t>P433-XR10</t>
        </is>
      </c>
      <c r="D81" s="48" t="inlineStr">
        <is>
          <t>P433-XR10</t>
        </is>
      </c>
      <c r="E81" s="48" t="inlineStr">
        <is>
          <t>P433-XR10/E0.33</t>
        </is>
      </c>
      <c r="F81" s="48" t="n">
        <v>0.33</v>
      </c>
      <c r="G81" s="48" t="inlineStr">
        <is>
          <t>Crystal Silver</t>
        </is>
      </c>
      <c r="H81" s="48" t="inlineStr">
        <is>
          <t>2K XIRALLIC CRYSTAL SILVER</t>
        </is>
      </c>
      <c r="I81" s="48" t="inlineStr">
        <is>
          <t>Crystal Silver</t>
        </is>
      </c>
      <c r="J81" s="48" t="inlineStr">
        <is>
          <t>Iskrzący, jasny biały efekt Xirallic; grubsze ziarno i jaśniejszy niż P426-PP05.</t>
        </is>
      </c>
      <c r="K81" s="48" t="inlineStr">
        <is>
          <t>g</t>
        </is>
      </c>
      <c r="L81" s="48" t="inlineStr">
        <is>
          <t>Xirallic</t>
        </is>
      </c>
      <c r="M81" s="48" t="inlineStr">
        <is>
          <t>OK</t>
        </is>
      </c>
      <c r="N81" s="48" t="inlineStr"/>
      <c r="O81" s="48" t="inlineStr">
        <is>
          <t>PDF_AUTOCOLOR</t>
        </is>
      </c>
      <c r="P81" s="48" t="inlineStr">
        <is>
          <t>TAK</t>
        </is>
      </c>
      <c r="Q81" s="48" t="inlineStr">
        <is>
          <t>TAK</t>
        </is>
      </c>
      <c r="R81" s="48" t="inlineStr">
        <is>
          <t>Sparkle bright white effect, coarser appearance and brighter than P426-PP05.</t>
        </is>
      </c>
      <c r="S81" s="48" t="inlineStr">
        <is>
          <t>Iskrzący, jasny biały efekt Xirallic; grubsze ziarno i jaśniejszy niż P426-PP05.</t>
        </is>
      </c>
    </row>
    <row r="82" ht="48" customHeight="1">
      <c r="A82" s="48" t="inlineStr">
        <is>
          <t>AUTOCOLOR|P433-XR11</t>
        </is>
      </c>
      <c r="B82" s="48" t="inlineStr">
        <is>
          <t>AUTOCOLOR</t>
        </is>
      </c>
      <c r="C82" s="48" t="inlineStr">
        <is>
          <t>P433-XR11</t>
        </is>
      </c>
      <c r="D82" s="48" t="inlineStr">
        <is>
          <t>P433-XR11</t>
        </is>
      </c>
      <c r="E82" s="48" t="inlineStr">
        <is>
          <t>P433-XR11/E0.33</t>
        </is>
      </c>
      <c r="F82" s="48" t="n">
        <v>0.33</v>
      </c>
      <c r="G82" s="48" t="inlineStr">
        <is>
          <t>Sunbeam Gold</t>
        </is>
      </c>
      <c r="H82" s="48" t="inlineStr">
        <is>
          <t>2K XIRALLIC SUNBEAM GOLD</t>
        </is>
      </c>
      <c r="I82" s="48" t="inlineStr">
        <is>
          <t>Sunbeam Gold</t>
        </is>
      </c>
      <c r="J82" s="48" t="inlineStr">
        <is>
          <t>Iskrzący, jasny złoty efekt Xirallic; grubsze ziarno i jaśniejszy niż P426-PP09.</t>
        </is>
      </c>
      <c r="K82" s="48" t="inlineStr">
        <is>
          <t>g</t>
        </is>
      </c>
      <c r="L82" s="48" t="inlineStr">
        <is>
          <t>Xirallic</t>
        </is>
      </c>
      <c r="M82" s="48" t="inlineStr">
        <is>
          <t>OK</t>
        </is>
      </c>
      <c r="N82" s="48" t="inlineStr"/>
      <c r="O82" s="48" t="inlineStr">
        <is>
          <t>PDF_AUTOCOLOR</t>
        </is>
      </c>
      <c r="P82" s="48" t="inlineStr">
        <is>
          <t>TAK</t>
        </is>
      </c>
      <c r="Q82" s="48" t="inlineStr">
        <is>
          <t>TAK</t>
        </is>
      </c>
      <c r="R82" s="48" t="inlineStr">
        <is>
          <t>Sparkle bright gold effect, coarser appearance and brighter than P426-PP09.</t>
        </is>
      </c>
      <c r="S82" s="48" t="inlineStr">
        <is>
          <t>Iskrzący, jasny złoty efekt Xirallic; grubsze ziarno i jaśniejszy niż P426-PP09.</t>
        </is>
      </c>
    </row>
    <row r="83" ht="48" customHeight="1">
      <c r="A83" s="48" t="inlineStr">
        <is>
          <t>AUTOCOLOR|P433-XR12</t>
        </is>
      </c>
      <c r="B83" s="48" t="inlineStr">
        <is>
          <t>AUTOCOLOR</t>
        </is>
      </c>
      <c r="C83" s="48" t="inlineStr">
        <is>
          <t>P433-XR12</t>
        </is>
      </c>
      <c r="D83" s="48" t="inlineStr">
        <is>
          <t>P433-XR12</t>
        </is>
      </c>
      <c r="E83" s="48" t="inlineStr">
        <is>
          <t>P433-XR12/E0.33</t>
        </is>
      </c>
      <c r="F83" s="48" t="n">
        <v>0.33</v>
      </c>
      <c r="G83" s="48" t="inlineStr">
        <is>
          <t>Radiant Red</t>
        </is>
      </c>
      <c r="H83" s="48" t="inlineStr">
        <is>
          <t>2K XIRALLIC RADIANT RED</t>
        </is>
      </c>
      <c r="I83" s="48" t="inlineStr">
        <is>
          <t>Radiant Red</t>
        </is>
      </c>
      <c r="J83" s="48" t="inlineStr">
        <is>
          <t>Iskrzący, jasny czerwony efekt Xirallic; grubsze ziarno i jaśniejszy niż P426-PP08.</t>
        </is>
      </c>
      <c r="K83" s="48" t="inlineStr">
        <is>
          <t>g</t>
        </is>
      </c>
      <c r="L83" s="48" t="inlineStr">
        <is>
          <t>Xirallic</t>
        </is>
      </c>
      <c r="M83" s="48" t="inlineStr">
        <is>
          <t>OK</t>
        </is>
      </c>
      <c r="N83" s="48" t="inlineStr"/>
      <c r="O83" s="48" t="inlineStr">
        <is>
          <t>PDF_AUTOCOLOR</t>
        </is>
      </c>
      <c r="P83" s="48" t="inlineStr">
        <is>
          <t>TAK</t>
        </is>
      </c>
      <c r="Q83" s="48" t="inlineStr">
        <is>
          <t>TAK</t>
        </is>
      </c>
      <c r="R83" s="48" t="inlineStr">
        <is>
          <t>Sparkle bright red effect, coarser appearance and brighter than P426-PP08.</t>
        </is>
      </c>
      <c r="S83" s="48" t="inlineStr">
        <is>
          <t>Iskrzący, jasny czerwony efekt Xirallic; grubsze ziarno i jaśniejszy niż P426-PP08.</t>
        </is>
      </c>
    </row>
    <row r="84" ht="48" customHeight="1">
      <c r="A84" s="48" t="inlineStr">
        <is>
          <t>AUTOCOLOR|P433-XR13</t>
        </is>
      </c>
      <c r="B84" s="48" t="inlineStr">
        <is>
          <t>AUTOCOLOR</t>
        </is>
      </c>
      <c r="C84" s="48" t="inlineStr">
        <is>
          <t>P433-XR13</t>
        </is>
      </c>
      <c r="D84" s="48" t="inlineStr">
        <is>
          <t>P433-XR13</t>
        </is>
      </c>
      <c r="E84" s="48" t="inlineStr">
        <is>
          <t>P433-XR13/E0.33</t>
        </is>
      </c>
      <c r="F84" s="48" t="n">
        <v>0.33</v>
      </c>
      <c r="G84" s="48" t="inlineStr">
        <is>
          <t>Galaxy Blue</t>
        </is>
      </c>
      <c r="H84" s="48" t="inlineStr">
        <is>
          <t>2K XIRALLIC GALAXY BLUE</t>
        </is>
      </c>
      <c r="I84" s="48" t="inlineStr">
        <is>
          <t>Galaxy Blue</t>
        </is>
      </c>
      <c r="J84" s="48" t="inlineStr">
        <is>
          <t>Iskrzący, jasny niebieski efekt Xirallic; grubsze ziarno i jaśniejszy niż P426-PP07.</t>
        </is>
      </c>
      <c r="K84" s="48" t="inlineStr">
        <is>
          <t>g</t>
        </is>
      </c>
      <c r="L84" s="48" t="inlineStr">
        <is>
          <t>Xirallic</t>
        </is>
      </c>
      <c r="M84" s="48" t="inlineStr">
        <is>
          <t>OK</t>
        </is>
      </c>
      <c r="N84" s="48" t="inlineStr"/>
      <c r="O84" s="48" t="inlineStr">
        <is>
          <t>PDF_AUTOCOLOR</t>
        </is>
      </c>
      <c r="P84" s="48" t="inlineStr">
        <is>
          <t>TAK</t>
        </is>
      </c>
      <c r="Q84" s="48" t="inlineStr">
        <is>
          <t>TAK</t>
        </is>
      </c>
      <c r="R84" s="48" t="inlineStr">
        <is>
          <t>Sparkle bright blue effect, coarser appearance and brighter than P426-PP07.</t>
        </is>
      </c>
      <c r="S84" s="48" t="inlineStr">
        <is>
          <t>Iskrzący, jasny niebieski efekt Xirallic; grubsze ziarno i jaśniejszy niż P426-PP07.</t>
        </is>
      </c>
    </row>
    <row r="85" ht="48" customHeight="1">
      <c r="A85" s="48" t="inlineStr">
        <is>
          <t>AUTOCOLOR|P433-XR14</t>
        </is>
      </c>
      <c r="B85" s="48" t="inlineStr">
        <is>
          <t>AUTOCOLOR</t>
        </is>
      </c>
      <c r="C85" s="48" t="inlineStr">
        <is>
          <t>P433-XR14</t>
        </is>
      </c>
      <c r="D85" s="48" t="inlineStr">
        <is>
          <t>P433-XR14</t>
        </is>
      </c>
      <c r="E85" s="48" t="inlineStr">
        <is>
          <t>P433-XR14/E0.33</t>
        </is>
      </c>
      <c r="F85" s="48" t="n">
        <v>0.33</v>
      </c>
      <c r="G85" s="48" t="inlineStr">
        <is>
          <t>Stellar Green</t>
        </is>
      </c>
      <c r="H85" s="48" t="inlineStr">
        <is>
          <t>2K XIRALLIC STELLAR GREEN</t>
        </is>
      </c>
      <c r="I85" s="48" t="inlineStr">
        <is>
          <t>Stellar Green</t>
        </is>
      </c>
      <c r="J85" s="48" t="inlineStr">
        <is>
          <t>Iskrzący, jasny zielony efekt Xirallic; grubsze ziarno i jaśniejszy niż P426-PP65.</t>
        </is>
      </c>
      <c r="K85" s="48" t="inlineStr">
        <is>
          <t>g</t>
        </is>
      </c>
      <c r="L85" s="48" t="inlineStr">
        <is>
          <t>Xirallic</t>
        </is>
      </c>
      <c r="M85" s="48" t="inlineStr">
        <is>
          <t>OK</t>
        </is>
      </c>
      <c r="N85" s="48" t="inlineStr"/>
      <c r="O85" s="48" t="inlineStr">
        <is>
          <t>PDF_AUTOCOLOR</t>
        </is>
      </c>
      <c r="P85" s="48" t="inlineStr">
        <is>
          <t>TAK</t>
        </is>
      </c>
      <c r="Q85" s="48" t="inlineStr">
        <is>
          <t>TAK</t>
        </is>
      </c>
      <c r="R85" s="48" t="inlineStr">
        <is>
          <t>Sparkle bright green effect, coarser appearance and brighter than P426-PP65.</t>
        </is>
      </c>
      <c r="S85" s="48" t="inlineStr">
        <is>
          <t>Iskrzący, jasny zielony efekt Xirallic; grubsze ziarno i jaśniejszy niż P426-PP65.</t>
        </is>
      </c>
    </row>
    <row r="86" ht="48" customHeight="1">
      <c r="A86" s="48" t="inlineStr">
        <is>
          <t>AUTOCOLOR|P433-XR15</t>
        </is>
      </c>
      <c r="B86" s="48" t="inlineStr">
        <is>
          <t>AUTOCOLOR</t>
        </is>
      </c>
      <c r="C86" s="48" t="inlineStr">
        <is>
          <t>P433-XR15</t>
        </is>
      </c>
      <c r="D86" s="48" t="inlineStr">
        <is>
          <t>P433-XR15</t>
        </is>
      </c>
      <c r="E86" s="48" t="inlineStr">
        <is>
          <t>P433-XR15/E0.33</t>
        </is>
      </c>
      <c r="F86" s="48" t="n">
        <v>0.33</v>
      </c>
      <c r="G86" s="48" t="inlineStr">
        <is>
          <t>Solaris Red</t>
        </is>
      </c>
      <c r="H86" s="48" t="inlineStr">
        <is>
          <t>2K XIRALLIC SOLARIS RED</t>
        </is>
      </c>
      <c r="I86" s="48" t="inlineStr">
        <is>
          <t>Solaris Red</t>
        </is>
      </c>
      <c r="J86" s="48" t="inlineStr">
        <is>
          <t>Iskrzący, jasny magenta-czerwony efekt Xirallic; grubsze ziarno i jaśniejszy niż P426-PP61.</t>
        </is>
      </c>
      <c r="K86" s="48" t="inlineStr">
        <is>
          <t>g</t>
        </is>
      </c>
      <c r="L86" s="48" t="inlineStr">
        <is>
          <t>Xirallic</t>
        </is>
      </c>
      <c r="M86" s="48" t="inlineStr">
        <is>
          <t>OK</t>
        </is>
      </c>
      <c r="N86" s="48" t="inlineStr"/>
      <c r="O86" s="48" t="inlineStr">
        <is>
          <t>PDF_AUTOCOLOR</t>
        </is>
      </c>
      <c r="P86" s="48" t="inlineStr">
        <is>
          <t>TAK</t>
        </is>
      </c>
      <c r="Q86" s="48" t="inlineStr">
        <is>
          <t>TAK</t>
        </is>
      </c>
      <c r="R86" s="48" t="inlineStr">
        <is>
          <t>Sparkle bright magenta red effect, coarser appearance and brighter than P426-PP61.</t>
        </is>
      </c>
      <c r="S86" s="48" t="inlineStr">
        <is>
          <t>Iskrzący, jasny magenta-czerwony efekt Xirallic; grubsze ziarno i jaśniejszy niż P426-PP61.</t>
        </is>
      </c>
    </row>
    <row r="87" ht="48" customHeight="1">
      <c r="A87" s="48" t="inlineStr">
        <is>
          <t>AUTOCOLOR|P433-XR16</t>
        </is>
      </c>
      <c r="B87" s="48" t="inlineStr">
        <is>
          <t>AUTOCOLOR</t>
        </is>
      </c>
      <c r="C87" s="48" t="inlineStr">
        <is>
          <t>P433-XR16</t>
        </is>
      </c>
      <c r="D87" s="48" t="inlineStr">
        <is>
          <t>P433-XR16</t>
        </is>
      </c>
      <c r="E87" s="48" t="inlineStr">
        <is>
          <t>P433-XR16/E0.33</t>
        </is>
      </c>
      <c r="F87" s="48" t="n">
        <v>0.33</v>
      </c>
      <c r="G87" s="48" t="inlineStr">
        <is>
          <t>Fireside Copper</t>
        </is>
      </c>
      <c r="H87" s="48" t="inlineStr">
        <is>
          <t>2K XIRALLIC FIRESIDE COPPER</t>
        </is>
      </c>
      <c r="I87" s="48" t="inlineStr">
        <is>
          <t>Fireside Copper</t>
        </is>
      </c>
      <c r="J87" s="48" t="inlineStr">
        <is>
          <t>Iskrzący, jasny miedziany efekt Xirallic; grubsze ziarno i jaśniejszy niż P426-PP10.</t>
        </is>
      </c>
      <c r="K87" s="48" t="inlineStr">
        <is>
          <t>g</t>
        </is>
      </c>
      <c r="L87" s="48" t="inlineStr">
        <is>
          <t>Xirallic</t>
        </is>
      </c>
      <c r="M87" s="48" t="inlineStr">
        <is>
          <t>OK</t>
        </is>
      </c>
      <c r="N87" s="48" t="inlineStr"/>
      <c r="O87" s="48" t="inlineStr">
        <is>
          <t>PDF_AUTOCOLOR</t>
        </is>
      </c>
      <c r="P87" s="48" t="inlineStr">
        <is>
          <t>TAK</t>
        </is>
      </c>
      <c r="Q87" s="48" t="inlineStr">
        <is>
          <t>TAK</t>
        </is>
      </c>
      <c r="R87" s="48" t="inlineStr">
        <is>
          <t>Sparkle bright copper effect, coarser appearance and brighter than P426-PP10.</t>
        </is>
      </c>
      <c r="S87" s="48" t="inlineStr">
        <is>
          <t>Iskrzący, jasny miedziany efekt Xirallic; grubsze ziarno i jaśniejszy niż P426-PP10.</t>
        </is>
      </c>
    </row>
    <row r="88" ht="48" customHeight="1">
      <c r="A88" s="49" t="inlineStr">
        <is>
          <t>AUTOCOLOR|P433-XR17</t>
        </is>
      </c>
      <c r="B88" s="49" t="inlineStr">
        <is>
          <t>AUTOCOLOR</t>
        </is>
      </c>
      <c r="C88" s="49" t="inlineStr">
        <is>
          <t>P433-XR17</t>
        </is>
      </c>
      <c r="D88" s="49" t="inlineStr">
        <is>
          <t>P433-XR17</t>
        </is>
      </c>
      <c r="E88" s="49" t="inlineStr">
        <is>
          <t>P433-XR17/E0.33</t>
        </is>
      </c>
      <c r="F88" s="49" t="n">
        <v>0.33</v>
      </c>
      <c r="G88" s="49" t="inlineStr">
        <is>
          <t>Cosmic Turquoise</t>
        </is>
      </c>
      <c r="H88" s="49" t="inlineStr">
        <is>
          <t>2K XIRALLIC COSMIC TURQUOISE</t>
        </is>
      </c>
      <c r="I88" s="49" t="inlineStr">
        <is>
          <t>Cosmic Turquoise</t>
        </is>
      </c>
      <c r="J88" s="49" t="inlineStr">
        <is>
          <t>Iskrzący, unikalny morski błękit (turkus) — płatek Xirallic o wyraźnej iskrze.</t>
        </is>
      </c>
      <c r="K88" s="49" t="inlineStr">
        <is>
          <t>g</t>
        </is>
      </c>
      <c r="L88" s="49" t="inlineStr">
        <is>
          <t>Xirallic</t>
        </is>
      </c>
      <c r="M88" s="49" t="inlineStr">
        <is>
          <t>KOLIZJA NAZW</t>
        </is>
      </c>
      <c r="N88" s="49" t="inlineStr">
        <is>
          <t>ODS: 2K XIRALLIC COSMIC TURQUOISE | PDF: Cosmic Turquoise flake pigment.</t>
        </is>
      </c>
      <c r="O88" s="49" t="inlineStr">
        <is>
          <t>PDF_AUTOCOLOR</t>
        </is>
      </c>
      <c r="P88" s="49" t="inlineStr">
        <is>
          <t>TAK</t>
        </is>
      </c>
      <c r="Q88" s="49" t="inlineStr">
        <is>
          <t>TAK</t>
        </is>
      </c>
      <c r="R88" s="49" t="inlineStr">
        <is>
          <t>Sparkle bright unique marine blue flake pigment.</t>
        </is>
      </c>
      <c r="S88" s="49" t="inlineStr">
        <is>
          <t>Iskrzący, unikalny morski błękit (turkus) — płatek Xirallic o wyraźnej iskrze.</t>
        </is>
      </c>
    </row>
    <row r="89" ht="48" customHeight="1">
      <c r="A89" s="48" t="inlineStr">
        <is>
          <t>AUTOCOLOR|P433-XR18</t>
        </is>
      </c>
      <c r="B89" s="48" t="inlineStr">
        <is>
          <t>AUTOCOLOR</t>
        </is>
      </c>
      <c r="C89" s="48" t="inlineStr">
        <is>
          <t>P433-XR18</t>
        </is>
      </c>
      <c r="D89" s="48" t="inlineStr">
        <is>
          <t>P433-XR18</t>
        </is>
      </c>
      <c r="E89" s="48" t="inlineStr">
        <is>
          <t>P433-XR18/E0.33</t>
        </is>
      </c>
      <c r="F89" s="48" t="n">
        <v>0.33</v>
      </c>
      <c r="G89" s="48" t="inlineStr">
        <is>
          <t>Amethyst Dream</t>
        </is>
      </c>
      <c r="H89" s="48" t="inlineStr">
        <is>
          <t>2K XIRALLIC AMETHYST DREAM</t>
        </is>
      </c>
      <c r="I89" s="48" t="inlineStr">
        <is>
          <t>Amethyst Dream</t>
        </is>
      </c>
      <c r="J89" s="48" t="inlineStr">
        <is>
          <t>Iskrzący, jasny fioletowy efekt Xirallic; grubsze ziarno i jaśniejszy niż P426-PP64.</t>
        </is>
      </c>
      <c r="K89" s="48" t="inlineStr">
        <is>
          <t>g</t>
        </is>
      </c>
      <c r="L89" s="48" t="inlineStr">
        <is>
          <t>Xirallic</t>
        </is>
      </c>
      <c r="M89" s="48" t="inlineStr">
        <is>
          <t>OK</t>
        </is>
      </c>
      <c r="N89" s="48" t="inlineStr"/>
      <c r="O89" s="48" t="inlineStr">
        <is>
          <t>PDF_AUTOCOLOR</t>
        </is>
      </c>
      <c r="P89" s="48" t="inlineStr">
        <is>
          <t>TAK</t>
        </is>
      </c>
      <c r="Q89" s="48" t="inlineStr">
        <is>
          <t>TAK</t>
        </is>
      </c>
      <c r="R89" s="48" t="inlineStr">
        <is>
          <t>Sparkle bright violet effect, coarser appearance and brighter than P426-PP64.</t>
        </is>
      </c>
      <c r="S89" s="48" t="inlineStr">
        <is>
          <t>Iskrzący, jasny fioletowy efekt Xirallic; grubsze ziarno i jaśniejszy niż P426-PP64.</t>
        </is>
      </c>
    </row>
    <row r="90" ht="48" customHeight="1">
      <c r="A90" s="49" t="inlineStr">
        <is>
          <t>AUTOCOLOR|P434-CS32</t>
        </is>
      </c>
      <c r="B90" s="49" t="inlineStr">
        <is>
          <t>AUTOCOLOR</t>
        </is>
      </c>
      <c r="C90" s="49" t="inlineStr">
        <is>
          <t>P434-CS32</t>
        </is>
      </c>
      <c r="D90" s="49" t="inlineStr">
        <is>
          <t>P434-CS32</t>
        </is>
      </c>
      <c r="E90" s="49" t="inlineStr">
        <is>
          <t>P434-CS32/E0.33</t>
        </is>
      </c>
      <c r="F90" s="49" t="n">
        <v>0.33</v>
      </c>
      <c r="G90" s="49" t="inlineStr">
        <is>
          <t>Viola Fantasy</t>
        </is>
      </c>
      <c r="H90" s="49" t="inlineStr">
        <is>
          <t>2K COLORSTREAM VIOLA FANTASY</t>
        </is>
      </c>
      <c r="I90" s="49" t="inlineStr">
        <is>
          <t>Viola Fantasy</t>
        </is>
      </c>
      <c r="J90" s="49" t="inlineStr">
        <is>
          <t>Efektowy biały płatek krzemionkowy Colorstream: unikalny travel fiolet → srebro → zieleń → błękit.</t>
        </is>
      </c>
      <c r="K90" s="49" t="inlineStr">
        <is>
          <t>g</t>
        </is>
      </c>
      <c r="L90" s="49" t="inlineStr">
        <is>
          <t>Colorstream</t>
        </is>
      </c>
      <c r="M90" s="49" t="inlineStr">
        <is>
          <t>KOLIZJA NAZW</t>
        </is>
      </c>
      <c r="N90" s="49" t="inlineStr">
        <is>
          <t>ODS: 2K COLORSTREAM VIOLA FANTASY | PDF: Viola Fantasy unique violet to silver to green to blue colour</t>
        </is>
      </c>
      <c r="O90" s="49" t="inlineStr">
        <is>
          <t>PDF_AUTOCOLOR</t>
        </is>
      </c>
      <c r="P90" s="49" t="inlineStr">
        <is>
          <t>TAK</t>
        </is>
      </c>
      <c r="Q90" s="49" t="inlineStr">
        <is>
          <t>TAK</t>
        </is>
      </c>
      <c r="R90" s="49" t="inlineStr">
        <is>
          <t>Special effect white silica flake that creates a unique violet to silver to green to blue colour travel.</t>
        </is>
      </c>
      <c r="S90" s="49" t="inlineStr">
        <is>
          <t>Efektowy biały płatek krzemionkowy Colorstream: unikalny travel fiolet → srebro → zieleń → błękit.</t>
        </is>
      </c>
    </row>
    <row r="91" ht="48" customHeight="1">
      <c r="A91" s="49" t="inlineStr">
        <is>
          <t>AUTOCOLOR|P434-CS33</t>
        </is>
      </c>
      <c r="B91" s="49" t="inlineStr">
        <is>
          <t>AUTOCOLOR</t>
        </is>
      </c>
      <c r="C91" s="49" t="inlineStr">
        <is>
          <t>P434-CS33</t>
        </is>
      </c>
      <c r="D91" s="49" t="inlineStr">
        <is>
          <t>P434-CS33</t>
        </is>
      </c>
      <c r="E91" s="49" t="inlineStr">
        <is>
          <t>P434-CS33/E0.33</t>
        </is>
      </c>
      <c r="F91" s="49" t="n">
        <v>0.33</v>
      </c>
      <c r="G91" s="49" t="inlineStr">
        <is>
          <t>Arctic Fire</t>
        </is>
      </c>
      <c r="H91" s="49" t="inlineStr">
        <is>
          <t>2K COLORSTREAM ARCTIC FIRE</t>
        </is>
      </c>
      <c r="I91" s="49" t="inlineStr">
        <is>
          <t>Arctic Fire</t>
        </is>
      </c>
      <c r="J91" s="49" t="inlineStr">
        <is>
          <t>Efektowy płatek krzemionkowy Colorstream: travel od subtelnego turkusu przez błyszczące srebro do czerwieni.</t>
        </is>
      </c>
      <c r="K91" s="49" t="inlineStr">
        <is>
          <t>g</t>
        </is>
      </c>
      <c r="L91" s="49" t="inlineStr">
        <is>
          <t>Colorstream</t>
        </is>
      </c>
      <c r="M91" s="49" t="inlineStr">
        <is>
          <t>KOLIZJA NAZW</t>
        </is>
      </c>
      <c r="N91" s="49" t="inlineStr">
        <is>
          <t>ODS: 2K COLORSTREAM ARCTIC FIRE | PDF: Arctic Fire colour travel from subtle turquoise through</t>
        </is>
      </c>
      <c r="O91" s="49" t="inlineStr">
        <is>
          <t>PDF_AUTOCOLOR</t>
        </is>
      </c>
      <c r="P91" s="49" t="inlineStr">
        <is>
          <t>TAK</t>
        </is>
      </c>
      <c r="Q91" s="49" t="inlineStr">
        <is>
          <t>TAK</t>
        </is>
      </c>
      <c r="R91" s="49" t="inlineStr">
        <is>
          <t>Special effect silica flake that creates a unique colour travel from subtle turquoise through brilliant silver to red.</t>
        </is>
      </c>
      <c r="S91" s="49" t="inlineStr">
        <is>
          <t>Efektowy płatek krzemionkowy Colorstream: travel od subtelnego turkusu przez błyszczące srebro do czerwieni.</t>
        </is>
      </c>
    </row>
    <row r="92" ht="48" customHeight="1">
      <c r="A92" s="49" t="inlineStr">
        <is>
          <t>AUTOCOLOR|P434-CS34</t>
        </is>
      </c>
      <c r="B92" s="49" t="inlineStr">
        <is>
          <t>AUTOCOLOR</t>
        </is>
      </c>
      <c r="C92" s="49" t="inlineStr">
        <is>
          <t>P434-CS34</t>
        </is>
      </c>
      <c r="D92" s="49" t="inlineStr">
        <is>
          <t>P434-CS34</t>
        </is>
      </c>
      <c r="E92" s="49" t="inlineStr">
        <is>
          <t>P434-CS34/E0.33</t>
        </is>
      </c>
      <c r="F92" s="49" t="n">
        <v>0.33</v>
      </c>
      <c r="G92" s="49" t="inlineStr">
        <is>
          <t>Tropic Sunrise</t>
        </is>
      </c>
      <c r="H92" s="49" t="inlineStr">
        <is>
          <t>2K COLORSTREAM TROPIC SUNRISE</t>
        </is>
      </c>
      <c r="I92" s="49" t="inlineStr">
        <is>
          <t>Tropic Sunrise</t>
        </is>
      </c>
      <c r="J92" s="49" t="inlineStr">
        <is>
          <t>Efektowy płatek krzemionkowy Colorstream: travel zieleń → srebro → czerwonawa pomarańcz.</t>
        </is>
      </c>
      <c r="K92" s="49" t="inlineStr">
        <is>
          <t>g</t>
        </is>
      </c>
      <c r="L92" s="49" t="inlineStr">
        <is>
          <t>Colorstream</t>
        </is>
      </c>
      <c r="M92" s="49" t="inlineStr">
        <is>
          <t>KOLIZJA NAZW</t>
        </is>
      </c>
      <c r="N92" s="49" t="inlineStr">
        <is>
          <t>ODS: 2K COLORSTREAM TROPIC SUNRISE | PDF: Tropic Sunrise colour travel from green to silver to reddish</t>
        </is>
      </c>
      <c r="O92" s="49" t="inlineStr">
        <is>
          <t>PDF_AUTOCOLOR</t>
        </is>
      </c>
      <c r="P92" s="49" t="inlineStr">
        <is>
          <t>TAK</t>
        </is>
      </c>
      <c r="Q92" s="49" t="inlineStr">
        <is>
          <t>TAK</t>
        </is>
      </c>
      <c r="R92" s="49" t="inlineStr">
        <is>
          <t>Special effect silica flake that creates a unique colour travel from green to silver to reddish orange.</t>
        </is>
      </c>
      <c r="S92" s="49" t="inlineStr">
        <is>
          <t>Efektowy płatek krzemionkowy Colorstream: travel zieleń → srebro → czerwonawa pomarańcz.</t>
        </is>
      </c>
    </row>
    <row r="93" ht="48" customHeight="1">
      <c r="A93" s="49" t="inlineStr">
        <is>
          <t>AUTOCOLOR|P434-CS35</t>
        </is>
      </c>
      <c r="B93" s="49" t="inlineStr">
        <is>
          <t>AUTOCOLOR</t>
        </is>
      </c>
      <c r="C93" s="49" t="inlineStr">
        <is>
          <t>P434-CS35</t>
        </is>
      </c>
      <c r="D93" s="49" t="inlineStr">
        <is>
          <t>P434-CS35</t>
        </is>
      </c>
      <c r="E93" s="49" t="inlineStr">
        <is>
          <t>P434-CS35/E0.33</t>
        </is>
      </c>
      <c r="F93" s="49" t="n">
        <v>0.33</v>
      </c>
      <c r="G93" s="49" t="inlineStr">
        <is>
          <t>Lapis Sunlight</t>
        </is>
      </c>
      <c r="H93" s="49" t="inlineStr">
        <is>
          <t>2K COLORSTREAM LAPIS SUN LIGHT</t>
        </is>
      </c>
      <c r="I93" s="49" t="inlineStr">
        <is>
          <t>Lapis Sunlight</t>
        </is>
      </c>
      <c r="J93" s="49" t="inlineStr">
        <is>
          <t>Efektowy płatek krzemionkowy Colorstream: travel złoto → zieleń → błękit.</t>
        </is>
      </c>
      <c r="K93" s="49" t="inlineStr">
        <is>
          <t>g</t>
        </is>
      </c>
      <c r="L93" s="49" t="inlineStr">
        <is>
          <t>Colorstream</t>
        </is>
      </c>
      <c r="M93" s="49" t="inlineStr">
        <is>
          <t>KOLIZJA NAZW</t>
        </is>
      </c>
      <c r="N93" s="49" t="inlineStr">
        <is>
          <t>ODS: 2K COLORSTREAM LAPIS SUN LIGHT | PDF: Lapis Sunlight colour travel from gold to green to blue.</t>
        </is>
      </c>
      <c r="O93" s="49" t="inlineStr">
        <is>
          <t>PDF_AUTOCOLOR</t>
        </is>
      </c>
      <c r="P93" s="49" t="inlineStr">
        <is>
          <t>TAK</t>
        </is>
      </c>
      <c r="Q93" s="49" t="inlineStr">
        <is>
          <t>TAK</t>
        </is>
      </c>
      <c r="R93" s="49" t="inlineStr">
        <is>
          <t>Special effect silica flake that creates a unique colour travel from gold to green to blue.</t>
        </is>
      </c>
      <c r="S93" s="49" t="inlineStr">
        <is>
          <t>Efektowy płatek krzemionkowy Colorstream: travel złoto → zieleń → błękit.</t>
        </is>
      </c>
    </row>
    <row r="94" ht="48" customHeight="1">
      <c r="A94" s="48" t="inlineStr">
        <is>
          <t>AUTOCOLOR|P435-GF37</t>
        </is>
      </c>
      <c r="B94" s="48" t="inlineStr">
        <is>
          <t>AUTOCOLOR</t>
        </is>
      </c>
      <c r="C94" s="48" t="inlineStr">
        <is>
          <t>P435-GF37</t>
        </is>
      </c>
      <c r="D94" s="48" t="inlineStr">
        <is>
          <t>P435-GF37</t>
        </is>
      </c>
      <c r="E94" s="48" t="inlineStr">
        <is>
          <t>P435-GF37/E0.33</t>
        </is>
      </c>
      <c r="F94" s="48" t="n">
        <v>0.33</v>
      </c>
      <c r="G94" s="48" t="inlineStr">
        <is>
          <t>Silver Glass</t>
        </is>
      </c>
      <c r="H94" s="48" t="inlineStr">
        <is>
          <t>2K SPECTRAFLAIR SILVER GLASS</t>
        </is>
      </c>
      <c r="I94" s="48" t="inlineStr">
        <is>
          <t>Silver Glass</t>
        </is>
      </c>
      <c r="J94" s="48" t="inlineStr">
        <is>
          <t>Srebrne płatki szkła pokryte metalem — jasne kolory z intensywną iskrą i flare. Efekt szczególnie widoczny w ostrym słońcu.</t>
        </is>
      </c>
      <c r="K94" s="48" t="inlineStr">
        <is>
          <t>g</t>
        </is>
      </c>
      <c r="L94" s="48" t="inlineStr">
        <is>
          <t>Toner</t>
        </is>
      </c>
      <c r="M94" s="48" t="inlineStr">
        <is>
          <t>OK</t>
        </is>
      </c>
      <c r="N94" s="48" t="inlineStr"/>
      <c r="O94" s="48" t="inlineStr">
        <is>
          <t>PDF_AUTOCOLOR</t>
        </is>
      </c>
      <c r="P94" s="48" t="inlineStr">
        <is>
          <t>TAK</t>
        </is>
      </c>
      <c r="Q94" s="48" t="inlineStr">
        <is>
          <t>TAK</t>
        </is>
      </c>
      <c r="R94" s="48" t="inlineStr">
        <is>
          <t>Silver metal-coated glass flakes, used to create bright colours with intense sparkle and flare. The effect is particularly evident in bright sunlight.</t>
        </is>
      </c>
      <c r="S94" s="48" t="inlineStr">
        <is>
          <t>Srebrne płatki szkła pokryte metalem — jasne kolory z intensywną iskrą i flare. Efekt szczególnie widoczny w ostrym słońcu.</t>
        </is>
      </c>
    </row>
    <row r="95" ht="48" customHeight="1">
      <c r="A95" s="48" t="inlineStr">
        <is>
          <t>AUTOCOLOR|P440-FX20</t>
        </is>
      </c>
      <c r="B95" s="48" t="inlineStr">
        <is>
          <t>AUTOCOLOR</t>
        </is>
      </c>
      <c r="C95" s="48" t="inlineStr">
        <is>
          <t>P440-FX20</t>
        </is>
      </c>
      <c r="D95" s="48" t="inlineStr">
        <is>
          <t>P440-FX20</t>
        </is>
      </c>
      <c r="E95" s="48" t="inlineStr">
        <is>
          <t>P440-FX20/E0.33</t>
        </is>
      </c>
      <c r="F95" s="48" t="n">
        <v>0.33</v>
      </c>
      <c r="G95" s="48" t="inlineStr">
        <is>
          <t>CHROMAFLAIR CYAN TO PURPLE</t>
        </is>
      </c>
      <c r="H95" s="48" t="inlineStr">
        <is>
          <t>2K CHROMAFLAIR CYAN TO PURPLE</t>
        </is>
      </c>
      <c r="I95" s="48" t="inlineStr">
        <is>
          <t>CHROMAFLAIR CYAN TO PURPLE</t>
        </is>
      </c>
      <c r="J95" s="48" t="inlineStr">
        <is>
          <t>Płatek zmieniający barwę (ChromaFlair): travel cyjan → fiolet. Dodaje kątowe przesunięcie koloru, nie krycie.</t>
        </is>
      </c>
      <c r="K95" s="48" t="inlineStr">
        <is>
          <t>g</t>
        </is>
      </c>
      <c r="L95" s="48" t="inlineStr">
        <is>
          <t>ChromaFlair</t>
        </is>
      </c>
      <c r="M95" s="48" t="inlineStr">
        <is>
          <t>OK</t>
        </is>
      </c>
      <c r="N95" s="48" t="inlineStr"/>
      <c r="O95" s="48" t="inlineStr">
        <is>
          <t>ODS_KATALOG</t>
        </is>
      </c>
      <c r="P95" s="48" t="inlineStr">
        <is>
          <t>TAK</t>
        </is>
      </c>
      <c r="Q95" s="48" t="inlineStr">
        <is>
          <t>TAK</t>
        </is>
      </c>
      <c r="R95" s="48" t="inlineStr">
        <is>
          <t>Colour shifting flake. Colour shifts from cyan through purple.</t>
        </is>
      </c>
      <c r="S95" s="48" t="inlineStr">
        <is>
          <t>Płatek zmieniający barwę (ChromaFlair): travel cyjan → fiolet. Dodaje kątowe przesunięcie koloru, nie krycie.</t>
        </is>
      </c>
    </row>
    <row r="96" ht="48" customHeight="1">
      <c r="A96" s="48" t="inlineStr">
        <is>
          <t>AUTOCOLOR|P440-FX21</t>
        </is>
      </c>
      <c r="B96" s="48" t="inlineStr">
        <is>
          <t>AUTOCOLOR</t>
        </is>
      </c>
      <c r="C96" s="48" t="inlineStr">
        <is>
          <t>P440-FX21</t>
        </is>
      </c>
      <c r="D96" s="48" t="inlineStr">
        <is>
          <t>P440-FX21</t>
        </is>
      </c>
      <c r="E96" s="48" t="inlineStr">
        <is>
          <t>P440-FX21/E0.33</t>
        </is>
      </c>
      <c r="F96" s="48" t="n">
        <v>0.33</v>
      </c>
      <c r="G96" s="48" t="inlineStr">
        <is>
          <t>CHROMAFLAIR SILVER TO GREEN</t>
        </is>
      </c>
      <c r="H96" s="48" t="inlineStr">
        <is>
          <t>2K CHROMAFLAIR SILVER TO GREEN</t>
        </is>
      </c>
      <c r="I96" s="48" t="inlineStr">
        <is>
          <t>CHROMAFLAIR SILVER TO GREEN</t>
        </is>
      </c>
      <c r="J96" s="48" t="inlineStr">
        <is>
          <t>Płatek zmieniający barwę (ChromaFlair): travel srebro → zieleń.</t>
        </is>
      </c>
      <c r="K96" s="48" t="inlineStr">
        <is>
          <t>g</t>
        </is>
      </c>
      <c r="L96" s="48" t="inlineStr">
        <is>
          <t>ChromaFlair</t>
        </is>
      </c>
      <c r="M96" s="48" t="inlineStr">
        <is>
          <t>OK</t>
        </is>
      </c>
      <c r="N96" s="48" t="inlineStr"/>
      <c r="O96" s="48" t="inlineStr">
        <is>
          <t>ODS_KATALOG</t>
        </is>
      </c>
      <c r="P96" s="48" t="inlineStr">
        <is>
          <t>TAK</t>
        </is>
      </c>
      <c r="Q96" s="48" t="inlineStr">
        <is>
          <t>TAK</t>
        </is>
      </c>
      <c r="R96" s="48" t="inlineStr">
        <is>
          <t>Colour shifting flake. Colour shifts from silver through green.</t>
        </is>
      </c>
      <c r="S96" s="48" t="inlineStr">
        <is>
          <t>Płatek zmieniający barwę (ChromaFlair): travel srebro → zieleń.</t>
        </is>
      </c>
    </row>
    <row r="97" ht="48" customHeight="1">
      <c r="A97" s="48" t="inlineStr">
        <is>
          <t>AUTOCOLOR|P440-FX22</t>
        </is>
      </c>
      <c r="B97" s="48" t="inlineStr">
        <is>
          <t>AUTOCOLOR</t>
        </is>
      </c>
      <c r="C97" s="48" t="inlineStr">
        <is>
          <t>P440-FX22</t>
        </is>
      </c>
      <c r="D97" s="48" t="inlineStr">
        <is>
          <t>P440-FX22</t>
        </is>
      </c>
      <c r="E97" s="48" t="inlineStr">
        <is>
          <t>P440-FX22/E0.33</t>
        </is>
      </c>
      <c r="F97" s="48" t="n">
        <v>0.33</v>
      </c>
      <c r="G97" s="48" t="inlineStr">
        <is>
          <t>CHROMAFLAIR GREEN TO PURPLE</t>
        </is>
      </c>
      <c r="H97" s="48" t="inlineStr">
        <is>
          <t>2K CHROMAFLAIR GREEN TO PURPLE</t>
        </is>
      </c>
      <c r="I97" s="48" t="inlineStr">
        <is>
          <t>CHROMAFLAIR GREEN TO PURPLE</t>
        </is>
      </c>
      <c r="J97" s="48" t="inlineStr">
        <is>
          <t>Płatek zmieniający barwę (ChromaFlair): travel zieleń → fiolet.</t>
        </is>
      </c>
      <c r="K97" s="48" t="inlineStr">
        <is>
          <t>g</t>
        </is>
      </c>
      <c r="L97" s="48" t="inlineStr">
        <is>
          <t>ChromaFlair</t>
        </is>
      </c>
      <c r="M97" s="48" t="inlineStr">
        <is>
          <t>OK</t>
        </is>
      </c>
      <c r="N97" s="48" t="inlineStr"/>
      <c r="O97" s="48" t="inlineStr">
        <is>
          <t>ODS_KATALOG</t>
        </is>
      </c>
      <c r="P97" s="48" t="inlineStr">
        <is>
          <t>TAK</t>
        </is>
      </c>
      <c r="Q97" s="48" t="inlineStr">
        <is>
          <t>TAK</t>
        </is>
      </c>
      <c r="R97" s="48" t="inlineStr">
        <is>
          <t>Colour shifting flake. Colour shifts from green through purple.</t>
        </is>
      </c>
      <c r="S97" s="48" t="inlineStr">
        <is>
          <t>Płatek zmieniający barwę (ChromaFlair): travel zieleń → fiolet.</t>
        </is>
      </c>
    </row>
    <row r="98" ht="48" customHeight="1">
      <c r="A98" s="48" t="inlineStr">
        <is>
          <t>AUTOCOLOR|P440-FX23</t>
        </is>
      </c>
      <c r="B98" s="48" t="inlineStr">
        <is>
          <t>AUTOCOLOR</t>
        </is>
      </c>
      <c r="C98" s="48" t="inlineStr">
        <is>
          <t>P440-FX23</t>
        </is>
      </c>
      <c r="D98" s="48" t="inlineStr">
        <is>
          <t>P440-FX23</t>
        </is>
      </c>
      <c r="E98" s="48" t="inlineStr">
        <is>
          <t>P440-FX23/E0.33</t>
        </is>
      </c>
      <c r="F98" s="48" t="n">
        <v>0.33</v>
      </c>
      <c r="G98" s="48" t="inlineStr">
        <is>
          <t>CHROMAFLAIR BLUE TO RED</t>
        </is>
      </c>
      <c r="H98" s="48" t="inlineStr">
        <is>
          <t>2K CHROMAFLAIR BLUE TO RED</t>
        </is>
      </c>
      <c r="I98" s="48" t="inlineStr">
        <is>
          <t>CHROMAFLAIR BLUE TO RED</t>
        </is>
      </c>
      <c r="J98" s="48" t="inlineStr">
        <is>
          <t>Płatek zmieniający barwę (ChromaFlair): travel błękit → czerwień.</t>
        </is>
      </c>
      <c r="K98" s="48" t="inlineStr">
        <is>
          <t>g</t>
        </is>
      </c>
      <c r="L98" s="48" t="inlineStr">
        <is>
          <t>ChromaFlair</t>
        </is>
      </c>
      <c r="M98" s="48" t="inlineStr">
        <is>
          <t>OK</t>
        </is>
      </c>
      <c r="N98" s="48" t="inlineStr"/>
      <c r="O98" s="48" t="inlineStr">
        <is>
          <t>ODS_KATALOG</t>
        </is>
      </c>
      <c r="P98" s="48" t="inlineStr">
        <is>
          <t>TAK</t>
        </is>
      </c>
      <c r="Q98" s="48" t="inlineStr">
        <is>
          <t>TAK</t>
        </is>
      </c>
      <c r="R98" s="48" t="inlineStr">
        <is>
          <t>Colour shifting flake. Colour shifts from blue through red.</t>
        </is>
      </c>
      <c r="S98" s="48" t="inlineStr">
        <is>
          <t>Płatek zmieniający barwę (ChromaFlair): travel błękit → czerwień.</t>
        </is>
      </c>
    </row>
    <row r="99" ht="48" customHeight="1">
      <c r="A99" s="48" t="inlineStr">
        <is>
          <t>AUTOCOLOR|P440-FX24</t>
        </is>
      </c>
      <c r="B99" s="48" t="inlineStr">
        <is>
          <t>AUTOCOLOR</t>
        </is>
      </c>
      <c r="C99" s="48" t="inlineStr">
        <is>
          <t>P440-FX24</t>
        </is>
      </c>
      <c r="D99" s="48" t="inlineStr">
        <is>
          <t>P440-FX24</t>
        </is>
      </c>
      <c r="E99" s="48" t="inlineStr">
        <is>
          <t>P440-FX24/E0.33</t>
        </is>
      </c>
      <c r="F99" s="48" t="n">
        <v>0.33</v>
      </c>
      <c r="G99" s="48" t="inlineStr">
        <is>
          <t>CHROMAFLAIR MAGENTA TO GOLD</t>
        </is>
      </c>
      <c r="H99" s="48" t="inlineStr">
        <is>
          <t>2K CHROMAFLAIR MAGENTA TO GOLD</t>
        </is>
      </c>
      <c r="I99" s="48" t="inlineStr">
        <is>
          <t>CHROMAFLAIR MAGENTA TO GOLD</t>
        </is>
      </c>
      <c r="J99" s="48" t="inlineStr">
        <is>
          <t>Płatek zmieniający barwę (ChromaFlair): travel magenta → złoto.</t>
        </is>
      </c>
      <c r="K99" s="48" t="inlineStr">
        <is>
          <t>g</t>
        </is>
      </c>
      <c r="L99" s="48" t="inlineStr">
        <is>
          <t>ChromaFlair</t>
        </is>
      </c>
      <c r="M99" s="48" t="inlineStr">
        <is>
          <t>OK</t>
        </is>
      </c>
      <c r="N99" s="48" t="inlineStr"/>
      <c r="O99" s="48" t="inlineStr">
        <is>
          <t>ODS_KATALOG</t>
        </is>
      </c>
      <c r="P99" s="48" t="inlineStr">
        <is>
          <t>TAK</t>
        </is>
      </c>
      <c r="Q99" s="48" t="inlineStr">
        <is>
          <t>TAK</t>
        </is>
      </c>
      <c r="R99" s="48" t="inlineStr">
        <is>
          <t>Colour shifting flake. Colour shifts from magenta through gold.</t>
        </is>
      </c>
      <c r="S99" s="48" t="inlineStr">
        <is>
          <t>Płatek zmieniający barwę (ChromaFlair): travel magenta → złoto.</t>
        </is>
      </c>
    </row>
    <row r="100" ht="48" customHeight="1">
      <c r="A100" s="48" t="inlineStr">
        <is>
          <t>AUTOCOLOR|P440-FX25</t>
        </is>
      </c>
      <c r="B100" s="48" t="inlineStr">
        <is>
          <t>AUTOCOLOR</t>
        </is>
      </c>
      <c r="C100" s="48" t="inlineStr">
        <is>
          <t>P440-FX25</t>
        </is>
      </c>
      <c r="D100" s="48" t="inlineStr">
        <is>
          <t>P440-FX25</t>
        </is>
      </c>
      <c r="E100" s="48" t="inlineStr">
        <is>
          <t>P440-FX25/E0.33</t>
        </is>
      </c>
      <c r="F100" s="48" t="n">
        <v>0.33</v>
      </c>
      <c r="G100" s="48" t="inlineStr">
        <is>
          <t>CHROMAFLAIR GOLD TO SILVER</t>
        </is>
      </c>
      <c r="H100" s="48" t="inlineStr">
        <is>
          <t>2K CHROMAFLAIR GOLD TO SILVER</t>
        </is>
      </c>
      <c r="I100" s="48" t="inlineStr">
        <is>
          <t>CHROMAFLAIR GOLD TO SILVER</t>
        </is>
      </c>
      <c r="J100" s="48" t="inlineStr">
        <is>
          <t>Płatek zmieniający barwę (ChromaFlair): travel złoto → srebro.</t>
        </is>
      </c>
      <c r="K100" s="48" t="inlineStr">
        <is>
          <t>g</t>
        </is>
      </c>
      <c r="L100" s="48" t="inlineStr">
        <is>
          <t>ChromaFlair</t>
        </is>
      </c>
      <c r="M100" s="48" t="inlineStr">
        <is>
          <t>OK</t>
        </is>
      </c>
      <c r="N100" s="48" t="inlineStr"/>
      <c r="O100" s="48" t="inlineStr">
        <is>
          <t>ODS_KATALOG</t>
        </is>
      </c>
      <c r="P100" s="48" t="inlineStr">
        <is>
          <t>TAK</t>
        </is>
      </c>
      <c r="Q100" s="48" t="inlineStr">
        <is>
          <t>TAK</t>
        </is>
      </c>
      <c r="R100" s="48" t="inlineStr">
        <is>
          <t>Colour shifting flake. Colour shifts from gold through silver.</t>
        </is>
      </c>
      <c r="S100" s="48" t="inlineStr">
        <is>
          <t>Płatek zmieniający barwę (ChromaFlair): travel złoto → srebro.</t>
        </is>
      </c>
    </row>
    <row r="101" ht="48" customHeight="1">
      <c r="A101" s="48" t="inlineStr">
        <is>
          <t>AUTOCOLOR|P440-FX26</t>
        </is>
      </c>
      <c r="B101" s="48" t="inlineStr">
        <is>
          <t>AUTOCOLOR</t>
        </is>
      </c>
      <c r="C101" s="48" t="inlineStr">
        <is>
          <t>P440-FX26</t>
        </is>
      </c>
      <c r="D101" s="48" t="inlineStr">
        <is>
          <t>P440-FX26</t>
        </is>
      </c>
      <c r="E101" s="48" t="inlineStr">
        <is>
          <t>P440-FX26/E0.33</t>
        </is>
      </c>
      <c r="F101" s="48" t="n">
        <v>0.33</v>
      </c>
      <c r="G101" s="48" t="inlineStr">
        <is>
          <t>CHROMAFLAIR RED TO GOLD</t>
        </is>
      </c>
      <c r="H101" s="48" t="inlineStr">
        <is>
          <t>2K CHROMAFLAIR RED TO GOLD</t>
        </is>
      </c>
      <c r="I101" s="48" t="inlineStr">
        <is>
          <t>CHROMAFLAIR RED TO GOLD</t>
        </is>
      </c>
      <c r="J101" s="48" t="inlineStr">
        <is>
          <t>Płatek zmieniający barwę (ChromaFlair): travel czerwień → złoto.</t>
        </is>
      </c>
      <c r="K101" s="48" t="inlineStr">
        <is>
          <t>g</t>
        </is>
      </c>
      <c r="L101" s="48" t="inlineStr">
        <is>
          <t>ChromaFlair</t>
        </is>
      </c>
      <c r="M101" s="48" t="inlineStr">
        <is>
          <t>OK</t>
        </is>
      </c>
      <c r="N101" s="48" t="inlineStr"/>
      <c r="O101" s="48" t="inlineStr">
        <is>
          <t>ODS_KATALOG</t>
        </is>
      </c>
      <c r="P101" s="48" t="inlineStr">
        <is>
          <t>TAK</t>
        </is>
      </c>
      <c r="Q101" s="48" t="inlineStr">
        <is>
          <t>TAK</t>
        </is>
      </c>
      <c r="R101" s="48" t="inlineStr">
        <is>
          <t>Colour shifting flake. Colour shifts from red through gold.</t>
        </is>
      </c>
      <c r="S101" s="48" t="inlineStr">
        <is>
          <t>Płatek zmieniający barwę (ChromaFlair): travel czerwień → złoto.</t>
        </is>
      </c>
    </row>
    <row r="102" ht="48" customHeight="1">
      <c r="A102" s="49" t="inlineStr">
        <is>
          <t>AUTOCOLOR|P440-FX51</t>
        </is>
      </c>
      <c r="B102" s="49" t="inlineStr">
        <is>
          <t>AUTOCOLOR</t>
        </is>
      </c>
      <c r="C102" s="49" t="inlineStr">
        <is>
          <t>P440-FX51</t>
        </is>
      </c>
      <c r="D102" s="49" t="inlineStr">
        <is>
          <t>P440-FX51</t>
        </is>
      </c>
      <c r="E102" s="49" t="inlineStr">
        <is>
          <t>P440-FX51/E0.33</t>
        </is>
      </c>
      <c r="F102" s="49" t="n">
        <v>0.33</v>
      </c>
      <c r="G102" s="49" t="inlineStr">
        <is>
          <t>Silver Flair</t>
        </is>
      </c>
      <c r="H102" s="49" t="inlineStr">
        <is>
          <t>2K SPECTRAFLAIR SILVER FLAIR</t>
        </is>
      </c>
      <c r="I102" s="49" t="inlineStr">
        <is>
          <t>Silver Flair</t>
        </is>
      </c>
      <c r="J102" s="49" t="inlineStr">
        <is>
          <t>Tęczowy, wielobarwny efekt (rainbow), szczególnie w srebrnych kolorach przy intensywnym świetle.</t>
        </is>
      </c>
      <c r="K102" s="49" t="inlineStr">
        <is>
          <t>g</t>
        </is>
      </c>
      <c r="L102" s="49" t="inlineStr">
        <is>
          <t>ChromaFlair</t>
        </is>
      </c>
      <c r="M102" s="49" t="inlineStr">
        <is>
          <t>KOLIZJA NAZW</t>
        </is>
      </c>
      <c r="N102" s="49" t="inlineStr">
        <is>
          <t>ODS: 2K SPECTRAFLAIR SILVER FLAIR | PDF: Silver Flair intense light source.</t>
        </is>
      </c>
      <c r="O102" s="49" t="inlineStr">
        <is>
          <t>PDF_AUTOCOLOR</t>
        </is>
      </c>
      <c r="P102" s="49" t="inlineStr">
        <is>
          <t>TAK</t>
        </is>
      </c>
      <c r="Q102" s="49" t="inlineStr">
        <is>
          <t>TAK</t>
        </is>
      </c>
      <c r="R102" s="49" t="inlineStr">
        <is>
          <t>Exhibits a unique rainbow multi coloured effect, particularly in silver colours under intense light source.</t>
        </is>
      </c>
      <c r="S102" s="49" t="inlineStr">
        <is>
          <t>Tęczowy, wielobarwny efekt (rainbow), szczególnie w srebrnych kolorach przy intensywnym świetle.</t>
        </is>
      </c>
    </row>
    <row r="103" ht="48" customHeight="1">
      <c r="A103" s="48" t="inlineStr">
        <is>
          <t>AUTOCOLOR|P440-LM01</t>
        </is>
      </c>
      <c r="B103" s="48" t="inlineStr">
        <is>
          <t>AUTOCOLOR</t>
        </is>
      </c>
      <c r="C103" s="48" t="inlineStr">
        <is>
          <t>P440-LM01</t>
        </is>
      </c>
      <c r="D103" s="48" t="inlineStr">
        <is>
          <t>P440-LM01</t>
        </is>
      </c>
      <c r="E103" s="48" t="inlineStr">
        <is>
          <t>P440-LM01/E1</t>
        </is>
      </c>
      <c r="F103" s="48" t="n">
        <v>1</v>
      </c>
      <c r="G103" s="48" t="inlineStr">
        <is>
          <t>LIQUID METAL SUPER FINE</t>
        </is>
      </c>
      <c r="H103" s="48" t="inlineStr">
        <is>
          <t>2K LIQUID METAL SUPER FINE</t>
        </is>
      </c>
      <c r="I103" s="48" t="inlineStr">
        <is>
          <t>LIQUID METAL SUPER FINE</t>
        </is>
      </c>
      <c r="J103" s="48" t="inlineStr">
        <is>
          <t>Próżniowe płatki metalu (liquid metal) o efekcie stopionego metalu. Bardzo drobne ziarno, lustrzany połysk.</t>
        </is>
      </c>
      <c r="K103" s="48" t="inlineStr">
        <is>
          <t>g</t>
        </is>
      </c>
      <c r="L103" s="48" t="inlineStr">
        <is>
          <t>Aluminium</t>
        </is>
      </c>
      <c r="M103" s="48" t="inlineStr">
        <is>
          <t>OK</t>
        </is>
      </c>
      <c r="N103" s="48" t="inlineStr"/>
      <c r="O103" s="48" t="inlineStr">
        <is>
          <t>ODS_KATALOG</t>
        </is>
      </c>
      <c r="P103" s="48" t="inlineStr">
        <is>
          <t>TAK</t>
        </is>
      </c>
      <c r="Q103" s="48" t="inlineStr">
        <is>
          <t>TAK</t>
        </is>
      </c>
      <c r="R103" s="48" t="inlineStr">
        <is>
          <t>Vacuumized metal flakes with a unique optical effect similar to a molten metal appearance.</t>
        </is>
      </c>
      <c r="S103" s="48" t="inlineStr">
        <is>
          <t>Próżniowe płatki metalu (liquid metal) o efekcie stopionego metalu. Bardzo drobne ziarno, lustrzany połysk.</t>
        </is>
      </c>
    </row>
    <row r="104" ht="48" customHeight="1">
      <c r="A104" s="48" t="inlineStr">
        <is>
          <t>AUTOCOLOR|P450-EC50</t>
        </is>
      </c>
      <c r="B104" s="48" t="inlineStr">
        <is>
          <t>AUTOCOLOR</t>
        </is>
      </c>
      <c r="C104" s="48" t="inlineStr">
        <is>
          <t>P450-EC50</t>
        </is>
      </c>
      <c r="D104" s="48" t="inlineStr">
        <is>
          <t>P450-EC50</t>
        </is>
      </c>
      <c r="E104" s="48" t="inlineStr">
        <is>
          <t>P450-EC50/E0.118</t>
        </is>
      </c>
      <c r="F104" s="48" t="n">
        <v>0.118</v>
      </c>
      <c r="G104" s="48" t="inlineStr">
        <is>
          <t>BRILLIANT RED</t>
        </is>
      </c>
      <c r="H104" s="48" t="inlineStr">
        <is>
          <t>BRILLIANT RED</t>
        </is>
      </c>
      <c r="I104" s="48" t="inlineStr">
        <is>
          <t>BRILLIANT RED</t>
        </is>
      </c>
      <c r="J104" s="48" t="inlineStr">
        <is>
          <t>Jaskrawa czerwień (toner EC). Dodaje czysty, intensywny czerwony ton.</t>
        </is>
      </c>
      <c r="K104" s="48" t="inlineStr">
        <is>
          <t>g</t>
        </is>
      </c>
      <c r="L104" s="48" t="inlineStr">
        <is>
          <t>Toner</t>
        </is>
      </c>
      <c r="M104" s="48" t="inlineStr">
        <is>
          <t>OK</t>
        </is>
      </c>
      <c r="N104" s="48" t="inlineStr"/>
      <c r="O104" s="48" t="inlineStr">
        <is>
          <t>ODS_KATALOG</t>
        </is>
      </c>
      <c r="P104" s="48" t="inlineStr">
        <is>
          <t>TAK</t>
        </is>
      </c>
      <c r="Q104" s="48" t="inlineStr">
        <is>
          <t>TAK</t>
        </is>
      </c>
      <c r="R104" s="48" t="inlineStr">
        <is>
          <t>Brilliant red effect / toner.</t>
        </is>
      </c>
      <c r="S104" s="48" t="inlineStr">
        <is>
          <t>Jaskrawa czerwień (toner EC). Dodaje czysty, intensywny czerwony ton.</t>
        </is>
      </c>
    </row>
    <row r="105" ht="48" customHeight="1">
      <c r="A105" s="50" t="inlineStr">
        <is>
          <t>AUTOCOLOR|P420-982</t>
        </is>
      </c>
      <c r="B105" s="50" t="inlineStr">
        <is>
          <t>AUTOCOLOR</t>
        </is>
      </c>
      <c r="C105" s="50" t="inlineStr">
        <is>
          <t>P420-982</t>
        </is>
      </c>
      <c r="D105" s="50" t="inlineStr">
        <is>
          <t>P420-982</t>
        </is>
      </c>
      <c r="E105" s="50" t="inlineStr"/>
      <c r="F105" s="50" t="inlineStr"/>
      <c r="G105" s="50" t="inlineStr">
        <is>
          <t>Trans Oxide Yellow</t>
        </is>
      </c>
      <c r="H105" s="50" t="inlineStr"/>
      <c r="I105" s="50" t="inlineStr">
        <is>
          <t>Trans Oxide Yellow</t>
        </is>
      </c>
      <c r="J105" s="50" t="inlineStr">
        <is>
          <t>Transparentny tlenek żółty z ciemniejszym flopem niż P420-983. Żółć tlenkowa bez silnego krycia, pogłębia cień.</t>
        </is>
      </c>
      <c r="K105" s="50" t="inlineStr">
        <is>
          <t>g</t>
        </is>
      </c>
      <c r="L105" s="50" t="inlineStr">
        <is>
          <t>Toner</t>
        </is>
      </c>
      <c r="M105" s="50" t="inlineStr">
        <is>
          <t>DODANY Z PDF</t>
        </is>
      </c>
      <c r="N105" s="50" t="inlineStr">
        <is>
          <t>Kod występuje w przewodniku dobarwiania, brak w ODS</t>
        </is>
      </c>
      <c r="O105" s="50" t="inlineStr">
        <is>
          <t>PDF_AUTOCOLOR</t>
        </is>
      </c>
      <c r="P105" s="50" t="inlineStr">
        <is>
          <t>NIE</t>
        </is>
      </c>
      <c r="Q105" s="50" t="inlineStr">
        <is>
          <t>NIE</t>
        </is>
      </c>
      <c r="R105" s="50" t="inlineStr">
        <is>
          <t>Transparent yellow oxide with a darker flop than P420-983.</t>
        </is>
      </c>
      <c r="S105" s="50" t="inlineStr">
        <is>
          <t>Transparentny tlenek żółty z ciemniejszym flopem niż P420-983. Żółć tlenkowa bez silnego krycia, pogłębia cień.</t>
        </is>
      </c>
    </row>
    <row r="106" ht="48" customHeight="1">
      <c r="A106" s="50" t="inlineStr">
        <is>
          <t>AUTOCOLOR|VM4370</t>
        </is>
      </c>
      <c r="B106" s="50" t="inlineStr">
        <is>
          <t>AUTOCOLOR</t>
        </is>
      </c>
      <c r="C106" s="50" t="inlineStr">
        <is>
          <t>VM4370</t>
        </is>
      </c>
      <c r="D106" s="50" t="inlineStr">
        <is>
          <t>VM4370</t>
        </is>
      </c>
      <c r="E106" s="50" t="inlineStr"/>
      <c r="F106" s="50" t="inlineStr"/>
      <c r="G106" s="50" t="inlineStr">
        <is>
          <t>Super Fine Liquid Metal</t>
        </is>
      </c>
      <c r="H106" s="50" t="inlineStr"/>
      <c r="I106" s="50" t="inlineStr">
        <is>
          <t>Super Fine Liquid Metal</t>
        </is>
      </c>
      <c r="J106" s="50" t="inlineStr">
        <is>
          <t>Próżniowe płatki metalu — unikalny efekt optyczny jak stopiony metal. Bardzo drobne ziarno, lustrzany połysk.</t>
        </is>
      </c>
      <c r="K106" s="50" t="inlineStr">
        <is>
          <t>g</t>
        </is>
      </c>
      <c r="L106" s="50" t="inlineStr">
        <is>
          <t>Aluminium</t>
        </is>
      </c>
      <c r="M106" s="50" t="inlineStr">
        <is>
          <t>DODANY Z PDF</t>
        </is>
      </c>
      <c r="N106" s="50" t="inlineStr">
        <is>
          <t>Kod występuje w przewodniku dobarwiania, brak w ODS</t>
        </is>
      </c>
      <c r="O106" s="50" t="inlineStr">
        <is>
          <t>PDF_AUTOCOLOR</t>
        </is>
      </c>
      <c r="P106" s="50" t="inlineStr">
        <is>
          <t>NIE</t>
        </is>
      </c>
      <c r="Q106" s="50" t="inlineStr">
        <is>
          <t>NIE</t>
        </is>
      </c>
      <c r="R106" s="50" t="inlineStr">
        <is>
          <t>Vacuumized metal flakes that have a unique optical effect similar to a molten metal appearance.</t>
        </is>
      </c>
      <c r="S106" s="50" t="inlineStr">
        <is>
          <t>Próżniowe płatki metalu — unikalny efekt optyczny jak stopiony metal. Bardzo drobne ziarno, lustrzany połysk.</t>
        </is>
      </c>
    </row>
    <row r="107" ht="48" customHeight="1">
      <c r="A107" s="50" t="inlineStr">
        <is>
          <t>AUTOCOLOR|P426-HE07</t>
        </is>
      </c>
      <c r="B107" s="50" t="inlineStr">
        <is>
          <t>AUTOCOLOR</t>
        </is>
      </c>
      <c r="C107" s="50" t="inlineStr">
        <is>
          <t>P426-HE07</t>
        </is>
      </c>
      <c r="D107" s="50" t="inlineStr">
        <is>
          <t>P426-HE07</t>
        </is>
      </c>
      <c r="E107" s="50" t="inlineStr"/>
      <c r="F107" s="50" t="inlineStr"/>
      <c r="G107" s="50" t="inlineStr">
        <is>
          <t>Blue Flash</t>
        </is>
      </c>
      <c r="H107" s="50" t="inlineStr"/>
      <c r="I107" s="50" t="inlineStr">
        <is>
          <t>Blue Flash</t>
        </is>
      </c>
      <c r="J107" s="50" t="inlineStr">
        <is>
          <t>Organiczny niebieski płatek aluminiowy. Barwione ziarno — niebieski błysk metaliku.</t>
        </is>
      </c>
      <c r="K107" s="50" t="inlineStr">
        <is>
          <t>g</t>
        </is>
      </c>
      <c r="L107" s="50" t="inlineStr">
        <is>
          <t>Aluminium</t>
        </is>
      </c>
      <c r="M107" s="50" t="inlineStr">
        <is>
          <t>DODANY Z PDF</t>
        </is>
      </c>
      <c r="N107" s="50" t="inlineStr">
        <is>
          <t>Kod występuje w przewodniku dobarwiania, brak w ODS</t>
        </is>
      </c>
      <c r="O107" s="50" t="inlineStr">
        <is>
          <t>PDF_AUTOCOLOR</t>
        </is>
      </c>
      <c r="P107" s="50" t="inlineStr">
        <is>
          <t>NIE</t>
        </is>
      </c>
      <c r="Q107" s="50" t="inlineStr">
        <is>
          <t>NIE</t>
        </is>
      </c>
      <c r="R107" s="50" t="inlineStr">
        <is>
          <t>Organic blue coloured aluminium flake.</t>
        </is>
      </c>
      <c r="S107" s="50" t="inlineStr">
        <is>
          <t>Organiczny niebieski płatek aluminiowy. Barwione ziarno — niebieski błysk metaliku.</t>
        </is>
      </c>
    </row>
    <row r="108" ht="48" customHeight="1">
      <c r="A108" s="50" t="inlineStr">
        <is>
          <t>AUTOCOLOR|P434-CS31</t>
        </is>
      </c>
      <c r="B108" s="50" t="inlineStr">
        <is>
          <t>AUTOCOLOR</t>
        </is>
      </c>
      <c r="C108" s="50" t="inlineStr">
        <is>
          <t>P434-CS31</t>
        </is>
      </c>
      <c r="D108" s="50" t="inlineStr">
        <is>
          <t>P434-CS31</t>
        </is>
      </c>
      <c r="E108" s="50" t="inlineStr"/>
      <c r="F108" s="50" t="inlineStr"/>
      <c r="G108" s="50" t="inlineStr">
        <is>
          <t>Autumn Mystery</t>
        </is>
      </c>
      <c r="H108" s="50" t="inlineStr"/>
      <c r="I108" s="50" t="inlineStr">
        <is>
          <t>Autumn Mystery</t>
        </is>
      </c>
      <c r="J108" s="50" t="inlineStr">
        <is>
          <t>Efektowy pomarańczowy płatek krzemionkowy Colorstream: unikalny travel czerwony → złoty → brąz → zieleń.</t>
        </is>
      </c>
      <c r="K108" s="50" t="inlineStr">
        <is>
          <t>g</t>
        </is>
      </c>
      <c r="L108" s="50" t="inlineStr">
        <is>
          <t>Colorstream</t>
        </is>
      </c>
      <c r="M108" s="50" t="inlineStr">
        <is>
          <t>DODANY Z PDF</t>
        </is>
      </c>
      <c r="N108" s="50" t="inlineStr">
        <is>
          <t>Kod występuje w przewodniku dobarwiania, brak w ODS</t>
        </is>
      </c>
      <c r="O108" s="50" t="inlineStr">
        <is>
          <t>PDF_AUTOCOLOR</t>
        </is>
      </c>
      <c r="P108" s="50" t="inlineStr">
        <is>
          <t>NIE</t>
        </is>
      </c>
      <c r="Q108" s="50" t="inlineStr">
        <is>
          <t>NIE</t>
        </is>
      </c>
      <c r="R108" s="50" t="inlineStr">
        <is>
          <t>Special effect orange silica flake that creates a unique red to gold to bronze to green colour travel.</t>
        </is>
      </c>
      <c r="S108" s="50" t="inlineStr">
        <is>
          <t>Efektowy pomarańczowy płatek krzemionkowy Colorstream: unikalny travel czerwony → złoty → brąz → zieleń.</t>
        </is>
      </c>
    </row>
    <row r="109" ht="48" customHeight="1">
      <c r="A109" s="50" t="inlineStr">
        <is>
          <t>AUTOCOLOR|VM4987</t>
        </is>
      </c>
      <c r="B109" s="50" t="inlineStr">
        <is>
          <t>AUTOCOLOR</t>
        </is>
      </c>
      <c r="C109" s="50" t="inlineStr">
        <is>
          <t>VM4987</t>
        </is>
      </c>
      <c r="D109" s="50" t="inlineStr">
        <is>
          <t>VM4987</t>
        </is>
      </c>
      <c r="E109" s="50" t="inlineStr"/>
      <c r="F109" s="50" t="inlineStr"/>
      <c r="G109" s="50" t="inlineStr">
        <is>
          <t>Cyan to Purple</t>
        </is>
      </c>
      <c r="H109" s="50" t="inlineStr"/>
      <c r="I109" s="50" t="inlineStr">
        <is>
          <t>Cyan to Purple</t>
        </is>
      </c>
      <c r="J109" s="50" t="inlineStr">
        <is>
          <t>Płatek zmieniający barwę: travel cyjan → fiolet.</t>
        </is>
      </c>
      <c r="K109" s="50" t="inlineStr">
        <is>
          <t>g</t>
        </is>
      </c>
      <c r="L109" s="50" t="inlineStr">
        <is>
          <t>ChromaFlair</t>
        </is>
      </c>
      <c r="M109" s="50" t="inlineStr">
        <is>
          <t>DODANY Z PDF</t>
        </is>
      </c>
      <c r="N109" s="50" t="inlineStr">
        <is>
          <t>Kod występuje w przewodniku dobarwiania, brak w ODS</t>
        </is>
      </c>
      <c r="O109" s="50" t="inlineStr">
        <is>
          <t>PDF_AUTOCOLOR</t>
        </is>
      </c>
      <c r="P109" s="50" t="inlineStr">
        <is>
          <t>NIE</t>
        </is>
      </c>
      <c r="Q109" s="50" t="inlineStr">
        <is>
          <t>NIE</t>
        </is>
      </c>
      <c r="R109" s="50" t="inlineStr">
        <is>
          <t>Colour shifting flake. Colour shifts from cyan through purple.</t>
        </is>
      </c>
      <c r="S109" s="50" t="inlineStr">
        <is>
          <t>Płatek zmieniający barwę: travel cyjan → fiolet.</t>
        </is>
      </c>
    </row>
    <row r="110" ht="48" customHeight="1">
      <c r="A110" s="50" t="inlineStr">
        <is>
          <t>AUTOCOLOR|VM4988</t>
        </is>
      </c>
      <c r="B110" s="50" t="inlineStr">
        <is>
          <t>AUTOCOLOR</t>
        </is>
      </c>
      <c r="C110" s="50" t="inlineStr">
        <is>
          <t>VM4988</t>
        </is>
      </c>
      <c r="D110" s="50" t="inlineStr">
        <is>
          <t>VM4988</t>
        </is>
      </c>
      <c r="E110" s="50" t="inlineStr"/>
      <c r="F110" s="50" t="inlineStr"/>
      <c r="G110" s="50" t="inlineStr">
        <is>
          <t>Silver to Green</t>
        </is>
      </c>
      <c r="H110" s="50" t="inlineStr"/>
      <c r="I110" s="50" t="inlineStr">
        <is>
          <t>Silver to Green</t>
        </is>
      </c>
      <c r="J110" s="50" t="inlineStr">
        <is>
          <t>Płatek zmieniający barwę: travel srebro → zieleń.</t>
        </is>
      </c>
      <c r="K110" s="50" t="inlineStr">
        <is>
          <t>g</t>
        </is>
      </c>
      <c r="L110" s="50" t="inlineStr">
        <is>
          <t>ChromaFlair</t>
        </is>
      </c>
      <c r="M110" s="50" t="inlineStr">
        <is>
          <t>DODANY Z PDF</t>
        </is>
      </c>
      <c r="N110" s="50" t="inlineStr">
        <is>
          <t>Kod występuje w przewodniku dobarwiania, brak w ODS</t>
        </is>
      </c>
      <c r="O110" s="50" t="inlineStr">
        <is>
          <t>PDF_AUTOCOLOR</t>
        </is>
      </c>
      <c r="P110" s="50" t="inlineStr">
        <is>
          <t>NIE</t>
        </is>
      </c>
      <c r="Q110" s="50" t="inlineStr">
        <is>
          <t>NIE</t>
        </is>
      </c>
      <c r="R110" s="50" t="inlineStr">
        <is>
          <t>Colour shifting flake. Colour shifts from silver through green.</t>
        </is>
      </c>
      <c r="S110" s="50" t="inlineStr">
        <is>
          <t>Płatek zmieniający barwę: travel srebro → zieleń.</t>
        </is>
      </c>
    </row>
    <row r="111" ht="48" customHeight="1">
      <c r="A111" s="50" t="inlineStr">
        <is>
          <t>AUTOCOLOR|VM4989</t>
        </is>
      </c>
      <c r="B111" s="50" t="inlineStr">
        <is>
          <t>AUTOCOLOR</t>
        </is>
      </c>
      <c r="C111" s="50" t="inlineStr">
        <is>
          <t>VM4989</t>
        </is>
      </c>
      <c r="D111" s="50" t="inlineStr">
        <is>
          <t>VM4989</t>
        </is>
      </c>
      <c r="E111" s="50" t="inlineStr"/>
      <c r="F111" s="50" t="inlineStr"/>
      <c r="G111" s="50" t="inlineStr">
        <is>
          <t>Green to Purple</t>
        </is>
      </c>
      <c r="H111" s="50" t="inlineStr"/>
      <c r="I111" s="50" t="inlineStr">
        <is>
          <t>Green to Purple</t>
        </is>
      </c>
      <c r="J111" s="50" t="inlineStr">
        <is>
          <t>Płatek zmieniający barwę: travel zieleń → fiolet.</t>
        </is>
      </c>
      <c r="K111" s="50" t="inlineStr">
        <is>
          <t>g</t>
        </is>
      </c>
      <c r="L111" s="50" t="inlineStr">
        <is>
          <t>ChromaFlair</t>
        </is>
      </c>
      <c r="M111" s="50" t="inlineStr">
        <is>
          <t>DODANY Z PDF</t>
        </is>
      </c>
      <c r="N111" s="50" t="inlineStr">
        <is>
          <t>Kod występuje w przewodniku dobarwiania, brak w ODS</t>
        </is>
      </c>
      <c r="O111" s="50" t="inlineStr">
        <is>
          <t>PDF_AUTOCOLOR</t>
        </is>
      </c>
      <c r="P111" s="50" t="inlineStr">
        <is>
          <t>NIE</t>
        </is>
      </c>
      <c r="Q111" s="50" t="inlineStr">
        <is>
          <t>NIE</t>
        </is>
      </c>
      <c r="R111" s="50" t="inlineStr">
        <is>
          <t>Colour shifting flake. Colour shifts from green through purple.</t>
        </is>
      </c>
      <c r="S111" s="50" t="inlineStr">
        <is>
          <t>Płatek zmieniający barwę: travel zieleń → fiolet.</t>
        </is>
      </c>
    </row>
    <row r="112" ht="48" customHeight="1">
      <c r="A112" s="50" t="inlineStr">
        <is>
          <t>AUTOCOLOR|VM4990</t>
        </is>
      </c>
      <c r="B112" s="50" t="inlineStr">
        <is>
          <t>AUTOCOLOR</t>
        </is>
      </c>
      <c r="C112" s="50" t="inlineStr">
        <is>
          <t>VM4990</t>
        </is>
      </c>
      <c r="D112" s="50" t="inlineStr">
        <is>
          <t>VM4990</t>
        </is>
      </c>
      <c r="E112" s="50" t="inlineStr"/>
      <c r="F112" s="50" t="inlineStr"/>
      <c r="G112" s="50" t="inlineStr">
        <is>
          <t>Blue to Red</t>
        </is>
      </c>
      <c r="H112" s="50" t="inlineStr"/>
      <c r="I112" s="50" t="inlineStr">
        <is>
          <t>Blue to Red</t>
        </is>
      </c>
      <c r="J112" s="50" t="inlineStr">
        <is>
          <t>Płatek zmieniający barwę: travel błękit → czerwień.</t>
        </is>
      </c>
      <c r="K112" s="50" t="inlineStr">
        <is>
          <t>g</t>
        </is>
      </c>
      <c r="L112" s="50" t="inlineStr">
        <is>
          <t>ChromaFlair</t>
        </is>
      </c>
      <c r="M112" s="50" t="inlineStr">
        <is>
          <t>DODANY Z PDF</t>
        </is>
      </c>
      <c r="N112" s="50" t="inlineStr">
        <is>
          <t>Kod występuje w przewodniku dobarwiania, brak w ODS</t>
        </is>
      </c>
      <c r="O112" s="50" t="inlineStr">
        <is>
          <t>PDF_AUTOCOLOR</t>
        </is>
      </c>
      <c r="P112" s="50" t="inlineStr">
        <is>
          <t>NIE</t>
        </is>
      </c>
      <c r="Q112" s="50" t="inlineStr">
        <is>
          <t>NIE</t>
        </is>
      </c>
      <c r="R112" s="50" t="inlineStr">
        <is>
          <t>Colour shifting flake. Colour shifts from blue through red.</t>
        </is>
      </c>
      <c r="S112" s="50" t="inlineStr">
        <is>
          <t>Płatek zmieniający barwę: travel błękit → czerwień.</t>
        </is>
      </c>
    </row>
    <row r="113" ht="48" customHeight="1">
      <c r="A113" s="50" t="inlineStr">
        <is>
          <t>AUTOCOLOR|VM4991</t>
        </is>
      </c>
      <c r="B113" s="50" t="inlineStr">
        <is>
          <t>AUTOCOLOR</t>
        </is>
      </c>
      <c r="C113" s="50" t="inlineStr">
        <is>
          <t>VM4991</t>
        </is>
      </c>
      <c r="D113" s="50" t="inlineStr">
        <is>
          <t>VM4991</t>
        </is>
      </c>
      <c r="E113" s="50" t="inlineStr"/>
      <c r="F113" s="50" t="inlineStr"/>
      <c r="G113" s="50" t="inlineStr">
        <is>
          <t>Magenta to Gold</t>
        </is>
      </c>
      <c r="H113" s="50" t="inlineStr"/>
      <c r="I113" s="50" t="inlineStr">
        <is>
          <t>Magenta to Gold</t>
        </is>
      </c>
      <c r="J113" s="50" t="inlineStr">
        <is>
          <t>Płatek zmieniający barwę: travel magenta → złoto.</t>
        </is>
      </c>
      <c r="K113" s="50" t="inlineStr">
        <is>
          <t>g</t>
        </is>
      </c>
      <c r="L113" s="50" t="inlineStr">
        <is>
          <t>ChromaFlair</t>
        </is>
      </c>
      <c r="M113" s="50" t="inlineStr">
        <is>
          <t>DODANY Z PDF</t>
        </is>
      </c>
      <c r="N113" s="50" t="inlineStr">
        <is>
          <t>Kod występuje w przewodniku dobarwiania, brak w ODS</t>
        </is>
      </c>
      <c r="O113" s="50" t="inlineStr">
        <is>
          <t>PDF_AUTOCOLOR</t>
        </is>
      </c>
      <c r="P113" s="50" t="inlineStr">
        <is>
          <t>NIE</t>
        </is>
      </c>
      <c r="Q113" s="50" t="inlineStr">
        <is>
          <t>NIE</t>
        </is>
      </c>
      <c r="R113" s="50" t="inlineStr">
        <is>
          <t>Colour shifting flake. Colour shifts from magenta through gold.</t>
        </is>
      </c>
      <c r="S113" s="50" t="inlineStr">
        <is>
          <t>Płatek zmieniający barwę: travel magenta → złoto.</t>
        </is>
      </c>
    </row>
    <row r="114" ht="48" customHeight="1">
      <c r="A114" s="50" t="inlineStr">
        <is>
          <t>AUTOCOLOR|VM4994</t>
        </is>
      </c>
      <c r="B114" s="50" t="inlineStr">
        <is>
          <t>AUTOCOLOR</t>
        </is>
      </c>
      <c r="C114" s="50" t="inlineStr">
        <is>
          <t>VM4994</t>
        </is>
      </c>
      <c r="D114" s="50" t="inlineStr">
        <is>
          <t>VM4994</t>
        </is>
      </c>
      <c r="E114" s="50" t="inlineStr"/>
      <c r="F114" s="50" t="inlineStr"/>
      <c r="G114" s="50" t="inlineStr">
        <is>
          <t>Gold to Silver</t>
        </is>
      </c>
      <c r="H114" s="50" t="inlineStr"/>
      <c r="I114" s="50" t="inlineStr">
        <is>
          <t>Gold to Silver</t>
        </is>
      </c>
      <c r="J114" s="50" t="inlineStr">
        <is>
          <t>Płatek zmieniający barwę: travel złoto → srebro.</t>
        </is>
      </c>
      <c r="K114" s="50" t="inlineStr">
        <is>
          <t>g</t>
        </is>
      </c>
      <c r="L114" s="50" t="inlineStr">
        <is>
          <t>ChromaFlair</t>
        </is>
      </c>
      <c r="M114" s="50" t="inlineStr">
        <is>
          <t>DODANY Z PDF</t>
        </is>
      </c>
      <c r="N114" s="50" t="inlineStr">
        <is>
          <t>Kod występuje w przewodniku dobarwiania, brak w ODS</t>
        </is>
      </c>
      <c r="O114" s="50" t="inlineStr">
        <is>
          <t>PDF_AUTOCOLOR</t>
        </is>
      </c>
      <c r="P114" s="50" t="inlineStr">
        <is>
          <t>NIE</t>
        </is>
      </c>
      <c r="Q114" s="50" t="inlineStr">
        <is>
          <t>NIE</t>
        </is>
      </c>
      <c r="R114" s="50" t="inlineStr">
        <is>
          <t>Colour shifting flake. Colour shifts from gold through silver.</t>
        </is>
      </c>
      <c r="S114" s="50" t="inlineStr">
        <is>
          <t>Płatek zmieniający barwę: travel złoto → srebro.</t>
        </is>
      </c>
    </row>
    <row r="115" ht="48" customHeight="1">
      <c r="A115" s="50" t="inlineStr">
        <is>
          <t>AUTOCOLOR|VM4995</t>
        </is>
      </c>
      <c r="B115" s="50" t="inlineStr">
        <is>
          <t>AUTOCOLOR</t>
        </is>
      </c>
      <c r="C115" s="50" t="inlineStr">
        <is>
          <t>VM4995</t>
        </is>
      </c>
      <c r="D115" s="50" t="inlineStr">
        <is>
          <t>VM4995</t>
        </is>
      </c>
      <c r="E115" s="50" t="inlineStr"/>
      <c r="F115" s="50" t="inlineStr"/>
      <c r="G115" s="50" t="inlineStr">
        <is>
          <t>Red to Gold</t>
        </is>
      </c>
      <c r="H115" s="50" t="inlineStr"/>
      <c r="I115" s="50" t="inlineStr">
        <is>
          <t>Red to Gold</t>
        </is>
      </c>
      <c r="J115" s="50" t="inlineStr">
        <is>
          <t>Płatek zmieniający barwę: travel czerwień → złoto.</t>
        </is>
      </c>
      <c r="K115" s="50" t="inlineStr">
        <is>
          <t>g</t>
        </is>
      </c>
      <c r="L115" s="50" t="inlineStr">
        <is>
          <t>ChromaFlair</t>
        </is>
      </c>
      <c r="M115" s="50" t="inlineStr">
        <is>
          <t>DODANY Z PDF</t>
        </is>
      </c>
      <c r="N115" s="50" t="inlineStr">
        <is>
          <t>Kod występuje w przewodniku dobarwiania, brak w ODS</t>
        </is>
      </c>
      <c r="O115" s="50" t="inlineStr">
        <is>
          <t>PDF_AUTOCOLOR</t>
        </is>
      </c>
      <c r="P115" s="50" t="inlineStr">
        <is>
          <t>NIE</t>
        </is>
      </c>
      <c r="Q115" s="50" t="inlineStr">
        <is>
          <t>NIE</t>
        </is>
      </c>
      <c r="R115" s="50" t="inlineStr">
        <is>
          <t>Colour shifting flake. Colour shifts from red through gold.</t>
        </is>
      </c>
      <c r="S115" s="50" t="inlineStr">
        <is>
          <t>Płatek zmieniający barwę: travel czerwień → złoto.</t>
        </is>
      </c>
    </row>
  </sheetData>
  <autoFilter ref="A8:S115"/>
  <mergeCells count="2">
    <mergeCell ref="A2:S2"/>
    <mergeCell ref="A1:S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S87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4" customWidth="1" min="4" max="4"/>
    <col width="18" customWidth="1" min="5" max="5"/>
    <col width="12" customWidth="1" min="6" max="6"/>
    <col width="36" customWidth="1" min="7" max="7"/>
    <col width="36" customWidth="1" min="8" max="8"/>
    <col width="36" customWidth="1" min="9" max="9"/>
    <col width="55" customWidth="1" min="10" max="10"/>
    <col width="12" customWidth="1" min="11" max="11"/>
    <col width="18" customWidth="1" min="12" max="12"/>
    <col width="16" customWidth="1" min="13" max="13"/>
    <col width="40" customWidth="1" min="14" max="14"/>
    <col width="16" customWidth="1" min="15" max="15"/>
    <col width="14" customWidth="1" min="16" max="16"/>
    <col width="16" customWidth="1" min="17" max="17"/>
    <col width="50" customWidth="1" min="18" max="18"/>
    <col width="55" customWidth="1" min="19" max="19"/>
  </cols>
  <sheetData>
    <row r="1" ht="28" customHeight="1">
      <c r="A1" s="1" t="inlineStr">
        <is>
          <t>BAZA DUXONE — Axalta Duxone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</row>
    <row r="2" ht="18" customHeight="1">
      <c r="A2" s="3" t="inlineStr">
        <is>
          <t>Kopia robocza bazy. Oryginalne pliki ODS/PDF nie są zmieniane. Klucz = SYSTEM|NR_PIGMENTU. AUTOCOLOR: OPIS_DOBARWIANIA i OPIS_DZIALANIA_PL po polsku (tint chart); nazwy katalogowe EN. DUXONE: opisy z PDF PL.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</row>
    <row r="8">
      <c r="A8" s="26" t="inlineStr">
        <is>
          <t>KLUCZ</t>
        </is>
      </c>
      <c r="B8" s="26" t="inlineStr">
        <is>
          <t>SYSTEM</t>
        </is>
      </c>
      <c r="C8" s="26" t="inlineStr">
        <is>
          <t>NR_PIGMENTU</t>
        </is>
      </c>
      <c r="D8" s="26" t="inlineStr">
        <is>
          <t>NR_BAZOWY</t>
        </is>
      </c>
      <c r="E8" s="26" t="inlineStr">
        <is>
          <t>KOD_E</t>
        </is>
      </c>
      <c r="F8" s="26" t="inlineStr">
        <is>
          <t>CZYNNIK_E</t>
        </is>
      </c>
      <c r="G8" s="26" t="inlineStr">
        <is>
          <t>NAZWA</t>
        </is>
      </c>
      <c r="H8" s="26" t="inlineStr">
        <is>
          <t>NAZWA_ODS</t>
        </is>
      </c>
      <c r="I8" s="26" t="inlineStr">
        <is>
          <t>NAZWA_PDF</t>
        </is>
      </c>
      <c r="J8" s="26" t="inlineStr">
        <is>
          <t>OPIS_DOBARWIANIA</t>
        </is>
      </c>
      <c r="K8" s="26" t="inlineStr">
        <is>
          <t>JEDNOSTKA</t>
        </is>
      </c>
      <c r="L8" s="26" t="inlineStr">
        <is>
          <t>KATEGORIA</t>
        </is>
      </c>
      <c r="M8" s="26" t="inlineStr">
        <is>
          <t>STATUS_DANYCH</t>
        </is>
      </c>
      <c r="N8" s="26" t="inlineStr">
        <is>
          <t>UWAGI_DANYCH</t>
        </is>
      </c>
      <c r="O8" s="26" t="inlineStr">
        <is>
          <t>ZRODLO_NAZWY</t>
        </is>
      </c>
      <c r="P8" s="26" t="inlineStr">
        <is>
          <t>W_KATALOGU_ODS</t>
        </is>
      </c>
      <c r="Q8" s="26" t="inlineStr">
        <is>
          <t>W_SZABLONIE_ODS</t>
        </is>
      </c>
      <c r="R8" s="26" t="inlineStr">
        <is>
          <t>OPIS_EN</t>
        </is>
      </c>
      <c r="S8" s="26" t="inlineStr">
        <is>
          <t>OPIS_DZIALANIA_PL</t>
        </is>
      </c>
    </row>
    <row r="9" ht="48" customHeight="1">
      <c r="A9" s="48" t="inlineStr">
        <is>
          <t>DUXONE|DX5110</t>
        </is>
      </c>
      <c r="B9" s="48" t="inlineStr">
        <is>
          <t>DUXONE</t>
        </is>
      </c>
      <c r="C9" s="48" t="inlineStr">
        <is>
          <t>DX5110</t>
        </is>
      </c>
      <c r="D9" s="48" t="inlineStr">
        <is>
          <t>DX5110</t>
        </is>
      </c>
      <c r="E9" s="48" t="inlineStr"/>
      <c r="F9" s="48" t="inlineStr"/>
      <c r="G9" s="48" t="inlineStr">
        <is>
          <t>DEEP BLACK</t>
        </is>
      </c>
      <c r="H9" s="48" t="inlineStr"/>
      <c r="I9" s="48" t="inlineStr">
        <is>
          <t>DEEP BLACK</t>
        </is>
      </c>
      <c r="J9" s="48" t="inlineStr"/>
      <c r="K9" s="48" t="inlineStr">
        <is>
          <t>g</t>
        </is>
      </c>
      <c r="L9" s="48" t="inlineStr">
        <is>
          <t>Solid</t>
        </is>
      </c>
      <c r="M9" s="48" t="inlineStr">
        <is>
          <t>OK</t>
        </is>
      </c>
      <c r="N9" s="48" t="inlineStr"/>
      <c r="O9" s="48" t="inlineStr">
        <is>
          <t>PDF_DUXONE</t>
        </is>
      </c>
      <c r="P9" s="48" t="inlineStr">
        <is>
          <t>NIE</t>
        </is>
      </c>
      <c r="Q9" s="48" t="inlineStr">
        <is>
          <t>TAK</t>
        </is>
      </c>
      <c r="R9" s="48" t="inlineStr"/>
      <c r="S9" s="48" t="inlineStr"/>
    </row>
    <row r="10" ht="48" customHeight="1">
      <c r="A10" s="48" t="inlineStr">
        <is>
          <t>DUXONE|DX5111</t>
        </is>
      </c>
      <c r="B10" s="48" t="inlineStr">
        <is>
          <t>DUXONE</t>
        </is>
      </c>
      <c r="C10" s="48" t="inlineStr">
        <is>
          <t>DX5111</t>
        </is>
      </c>
      <c r="D10" s="48" t="inlineStr">
        <is>
          <t>DX5111</t>
        </is>
      </c>
      <c r="E10" s="48" t="inlineStr"/>
      <c r="F10" s="48" t="inlineStr"/>
      <c r="G10" s="48" t="inlineStr">
        <is>
          <t>BLACK</t>
        </is>
      </c>
      <c r="H10" s="48" t="inlineStr"/>
      <c r="I10" s="48" t="inlineStr">
        <is>
          <t>BLACK</t>
        </is>
      </c>
      <c r="J10" s="48" t="inlineStr">
        <is>
          <t>Najmocniejszy i najbardziej nasycony czarny pigment
DX5111 jest ciemniejszy patrząc „pod dużym kątem” (flop) niż DX5110
Zamień DX5110 na DX5111: stężenie DX5110 x 2
Ma niebieskie zabarwienie</t>
        </is>
      </c>
      <c r="K10" s="48" t="inlineStr">
        <is>
          <t>g</t>
        </is>
      </c>
      <c r="L10" s="48" t="inlineStr">
        <is>
          <t>Solid</t>
        </is>
      </c>
      <c r="M10" s="48" t="inlineStr">
        <is>
          <t>OK</t>
        </is>
      </c>
      <c r="N10" s="48" t="inlineStr"/>
      <c r="O10" s="48" t="inlineStr">
        <is>
          <t>PDF_DUXONE</t>
        </is>
      </c>
      <c r="P10" s="48" t="inlineStr">
        <is>
          <t>NIE</t>
        </is>
      </c>
      <c r="Q10" s="48" t="inlineStr">
        <is>
          <t>TAK</t>
        </is>
      </c>
      <c r="R10" s="48" t="inlineStr"/>
      <c r="S10" s="48" t="inlineStr">
        <is>
          <t>Najmocniejszy i najbardziej nasycony czarny pigment
DX5111 jest ciemniejszy patrząc „pod dużym kątem” (flop) niż DX5110
Zamień DX5110 na DX5111: stężenie DX5110 x 2
Ma niebieskie zabarwienie</t>
        </is>
      </c>
    </row>
    <row r="11" ht="48" customHeight="1">
      <c r="A11" s="48" t="inlineStr">
        <is>
          <t>DUXONE|DX5121</t>
        </is>
      </c>
      <c r="B11" s="48" t="inlineStr">
        <is>
          <t>DUXONE</t>
        </is>
      </c>
      <c r="C11" s="48" t="inlineStr">
        <is>
          <t>DX5121</t>
        </is>
      </c>
      <c r="D11" s="48" t="inlineStr">
        <is>
          <t>DX5121</t>
        </is>
      </c>
      <c r="E11" s="48" t="inlineStr"/>
      <c r="F11" s="48" t="inlineStr"/>
      <c r="G11" s="48" t="inlineStr">
        <is>
          <t>EFFECT BROWN</t>
        </is>
      </c>
      <c r="H11" s="48" t="inlineStr"/>
      <c r="I11" s="48" t="inlineStr">
        <is>
          <t>EFFECT BROWN</t>
        </is>
      </c>
      <c r="J11" s="48" t="inlineStr">
        <is>
          <t>Przezroczysty pigment
Najbardziej czerwonawy pigment z rodziny tlenków trans
Ciemniejszy i bardziej zielonkawy odcień patrząc „pod dużym kątem” niż
DX5126 oraz DX5122</t>
        </is>
      </c>
      <c r="K11" s="48" t="inlineStr">
        <is>
          <t>g</t>
        </is>
      </c>
      <c r="L11" s="48" t="inlineStr">
        <is>
          <t>Solid</t>
        </is>
      </c>
      <c r="M11" s="48" t="inlineStr">
        <is>
          <t>OK</t>
        </is>
      </c>
      <c r="N11" s="48" t="inlineStr"/>
      <c r="O11" s="48" t="inlineStr">
        <is>
          <t>PDF_DUXONE</t>
        </is>
      </c>
      <c r="P11" s="48" t="inlineStr">
        <is>
          <t>NIE</t>
        </is>
      </c>
      <c r="Q11" s="48" t="inlineStr">
        <is>
          <t>TAK</t>
        </is>
      </c>
      <c r="R11" s="48" t="inlineStr"/>
      <c r="S11" s="48" t="inlineStr">
        <is>
          <t>Przezroczysty pigment
Najbardziej czerwonawy pigment z rodziny tlenków trans
Ciemniejszy i bardziej zielonkawy odcień patrząc „pod dużym kątem” niż
DX5126 oraz DX5122</t>
        </is>
      </c>
    </row>
    <row r="12" ht="48" customHeight="1">
      <c r="A12" s="48" t="inlineStr">
        <is>
          <t>DUXONE|DX5122</t>
        </is>
      </c>
      <c r="B12" s="48" t="inlineStr">
        <is>
          <t>DUXONE</t>
        </is>
      </c>
      <c r="C12" s="48" t="inlineStr">
        <is>
          <t>DX5122</t>
        </is>
      </c>
      <c r="D12" s="48" t="inlineStr">
        <is>
          <t>DX5122</t>
        </is>
      </c>
      <c r="E12" s="48" t="inlineStr"/>
      <c r="F12" s="48" t="inlineStr"/>
      <c r="G12" s="48" t="inlineStr">
        <is>
          <t>EFFECT BROWN RED</t>
        </is>
      </c>
      <c r="H12" s="48" t="inlineStr"/>
      <c r="I12" s="48" t="inlineStr">
        <is>
          <t>EFFECT BROWN RED</t>
        </is>
      </c>
      <c r="J12" s="48" t="inlineStr">
        <is>
          <t>Przezroczysty pigment
Czerwony patrząc „pod dużym kątem” i „na wprost”
Czerwony w świetle żarówkowym</t>
        </is>
      </c>
      <c r="K12" s="48" t="inlineStr">
        <is>
          <t>g</t>
        </is>
      </c>
      <c r="L12" s="48" t="inlineStr">
        <is>
          <t>Solid</t>
        </is>
      </c>
      <c r="M12" s="48" t="inlineStr">
        <is>
          <t>OK</t>
        </is>
      </c>
      <c r="N12" s="48" t="inlineStr"/>
      <c r="O12" s="48" t="inlineStr">
        <is>
          <t>PDF_DUXONE</t>
        </is>
      </c>
      <c r="P12" s="48" t="inlineStr">
        <is>
          <t>NIE</t>
        </is>
      </c>
      <c r="Q12" s="48" t="inlineStr">
        <is>
          <t>TAK</t>
        </is>
      </c>
      <c r="R12" s="48" t="inlineStr"/>
      <c r="S12" s="48" t="inlineStr">
        <is>
          <t>Przezroczysty pigment
Czerwony patrząc „pod dużym kątem” i „na wprost”
Czerwony w świetle żarówkowym</t>
        </is>
      </c>
    </row>
    <row r="13" ht="48" customHeight="1">
      <c r="A13" s="48" t="inlineStr">
        <is>
          <t>DUXONE|DX5123</t>
        </is>
      </c>
      <c r="B13" s="48" t="inlineStr">
        <is>
          <t>DUXONE</t>
        </is>
      </c>
      <c r="C13" s="48" t="inlineStr">
        <is>
          <t>DX5123</t>
        </is>
      </c>
      <c r="D13" s="48" t="inlineStr">
        <is>
          <t>DX5123</t>
        </is>
      </c>
      <c r="E13" s="48" t="inlineStr"/>
      <c r="F13" s="48" t="inlineStr"/>
      <c r="G13" s="48" t="inlineStr">
        <is>
          <t>TRANSPARENT MAROON</t>
        </is>
      </c>
      <c r="H13" s="48" t="inlineStr"/>
      <c r="I13" s="48" t="inlineStr">
        <is>
          <t>TRANSPARENT MAROON</t>
        </is>
      </c>
      <c r="J13" s="48" t="inlineStr">
        <is>
          <t>Przezroczysty, czerwony komponent
Taki sam jak DX5147, ale bardziej czerwony i bardziej niebieski</t>
        </is>
      </c>
      <c r="K13" s="48" t="inlineStr">
        <is>
          <t>g</t>
        </is>
      </c>
      <c r="L13" s="48" t="inlineStr">
        <is>
          <t>Solid</t>
        </is>
      </c>
      <c r="M13" s="48" t="inlineStr">
        <is>
          <t>OK</t>
        </is>
      </c>
      <c r="N13" s="48" t="inlineStr"/>
      <c r="O13" s="48" t="inlineStr">
        <is>
          <t>PDF_DUXONE</t>
        </is>
      </c>
      <c r="P13" s="48" t="inlineStr">
        <is>
          <t>NIE</t>
        </is>
      </c>
      <c r="Q13" s="48" t="inlineStr">
        <is>
          <t>TAK</t>
        </is>
      </c>
      <c r="R13" s="48" t="inlineStr"/>
      <c r="S13" s="48" t="inlineStr">
        <is>
          <t>Przezroczysty, czerwony komponent
Taki sam jak DX5147, ale bardziej czerwony i bardziej niebieski</t>
        </is>
      </c>
    </row>
    <row r="14" ht="48" customHeight="1">
      <c r="A14" s="48" t="inlineStr">
        <is>
          <t>DUXONE|DX5126</t>
        </is>
      </c>
      <c r="B14" s="48" t="inlineStr">
        <is>
          <t>DUXONE</t>
        </is>
      </c>
      <c r="C14" s="48" t="inlineStr">
        <is>
          <t>DX5126</t>
        </is>
      </c>
      <c r="D14" s="48" t="inlineStr">
        <is>
          <t>DX5126</t>
        </is>
      </c>
      <c r="E14" s="48" t="inlineStr"/>
      <c r="F14" s="48" t="inlineStr"/>
      <c r="G14" s="48" t="inlineStr">
        <is>
          <t>EFFECT OCRE</t>
        </is>
      </c>
      <c r="H14" s="48" t="inlineStr"/>
      <c r="I14" s="48" t="inlineStr">
        <is>
          <t>EFFECT OCRE</t>
        </is>
      </c>
      <c r="J14" s="48" t="inlineStr">
        <is>
          <t>Przezroczysty pigment
Najbardziej żółtawy brąz
Zielony/żółty odcień i jasny czerwony patrząc „pod dużym kątem”</t>
        </is>
      </c>
      <c r="K14" s="48" t="inlineStr">
        <is>
          <t>g</t>
        </is>
      </c>
      <c r="L14" s="48" t="inlineStr">
        <is>
          <t>Solid</t>
        </is>
      </c>
      <c r="M14" s="48" t="inlineStr">
        <is>
          <t>OK</t>
        </is>
      </c>
      <c r="N14" s="48" t="inlineStr"/>
      <c r="O14" s="48" t="inlineStr">
        <is>
          <t>PDF_DUXONE</t>
        </is>
      </c>
      <c r="P14" s="48" t="inlineStr">
        <is>
          <t>NIE</t>
        </is>
      </c>
      <c r="Q14" s="48" t="inlineStr">
        <is>
          <t>TAK</t>
        </is>
      </c>
      <c r="R14" s="48" t="inlineStr"/>
      <c r="S14" s="48" t="inlineStr">
        <is>
          <t>Przezroczysty pigment
Najbardziej żółtawy brąz
Zielony/żółty odcień i jasny czerwony patrząc „pod dużym kątem”</t>
        </is>
      </c>
    </row>
    <row r="15" ht="48" customHeight="1">
      <c r="A15" s="48" t="inlineStr">
        <is>
          <t>DUXONE|DX5130</t>
        </is>
      </c>
      <c r="B15" s="48" t="inlineStr">
        <is>
          <t>DUXONE</t>
        </is>
      </c>
      <c r="C15" s="48" t="inlineStr">
        <is>
          <t>DX5130</t>
        </is>
      </c>
      <c r="D15" s="48" t="inlineStr">
        <is>
          <t>DX5130</t>
        </is>
      </c>
      <c r="E15" s="48" t="inlineStr"/>
      <c r="F15" s="48" t="inlineStr"/>
      <c r="G15" s="48" t="inlineStr">
        <is>
          <t>WHITE HS</t>
        </is>
      </c>
      <c r="H15" s="48" t="inlineStr"/>
      <c r="I15" s="48" t="inlineStr">
        <is>
          <t>WHITE HS</t>
        </is>
      </c>
      <c r="J15" s="48" t="inlineStr"/>
      <c r="K15" s="48" t="inlineStr">
        <is>
          <t>g</t>
        </is>
      </c>
      <c r="L15" s="48" t="inlineStr">
        <is>
          <t>Solid</t>
        </is>
      </c>
      <c r="M15" s="48" t="inlineStr">
        <is>
          <t>OK</t>
        </is>
      </c>
      <c r="N15" s="48" t="inlineStr"/>
      <c r="O15" s="48" t="inlineStr">
        <is>
          <t>PDF_DUXONE</t>
        </is>
      </c>
      <c r="P15" s="48" t="inlineStr">
        <is>
          <t>NIE</t>
        </is>
      </c>
      <c r="Q15" s="48" t="inlineStr">
        <is>
          <t>TAK</t>
        </is>
      </c>
      <c r="R15" s="48" t="inlineStr"/>
      <c r="S15" s="48" t="inlineStr"/>
    </row>
    <row r="16" ht="48" customHeight="1">
      <c r="A16" s="48" t="inlineStr">
        <is>
          <t>DUXONE|DX5134</t>
        </is>
      </c>
      <c r="B16" s="48" t="inlineStr">
        <is>
          <t>DUXONE</t>
        </is>
      </c>
      <c r="C16" s="48" t="inlineStr">
        <is>
          <t>DX5134</t>
        </is>
      </c>
      <c r="D16" s="48" t="inlineStr">
        <is>
          <t>DX5134</t>
        </is>
      </c>
      <c r="E16" s="48" t="inlineStr"/>
      <c r="F16" s="48" t="inlineStr"/>
      <c r="G16" s="48" t="inlineStr">
        <is>
          <t>EFFECT WHITE</t>
        </is>
      </c>
      <c r="H16" s="48" t="inlineStr"/>
      <c r="I16" s="48" t="inlineStr">
        <is>
          <t>EFFECT WHITE</t>
        </is>
      </c>
      <c r="J16" s="48" t="inlineStr">
        <is>
          <t>Jest używany w kolorach z efektem aby uzyskać kolor bardziej żołty patrząc „pod
kątem” oraz bardziej niebieski i jaśniejszy patrząc „pod dużym kątem” (flop)
Nie używać więcej niż 40% na wagę receptury by uniknąć problemów z
trwałością
Dodatki modyfikujące</t>
        </is>
      </c>
      <c r="K16" s="48" t="inlineStr">
        <is>
          <t>g</t>
        </is>
      </c>
      <c r="L16" s="48" t="inlineStr">
        <is>
          <t>Modyfikator</t>
        </is>
      </c>
      <c r="M16" s="48" t="inlineStr">
        <is>
          <t>OK</t>
        </is>
      </c>
      <c r="N16" s="48" t="inlineStr"/>
      <c r="O16" s="48" t="inlineStr">
        <is>
          <t>PDF_DUXONE</t>
        </is>
      </c>
      <c r="P16" s="48" t="inlineStr">
        <is>
          <t>NIE</t>
        </is>
      </c>
      <c r="Q16" s="48" t="inlineStr">
        <is>
          <t>TAK</t>
        </is>
      </c>
      <c r="R16" s="48" t="inlineStr"/>
      <c r="S16" s="48" t="inlineStr">
        <is>
          <t>Jest używany w kolorach z efektem aby uzyskać kolor bardziej żołty patrząc „pod
kątem” oraz bardziej niebieski i jaśniejszy patrząc „pod dużym kątem” (flop)
Nie używać więcej niż 40% na wagę receptury by uniknąć problemów z
trwałością
Dodatki modyfikujące</t>
        </is>
      </c>
    </row>
    <row r="17" ht="48" customHeight="1">
      <c r="A17" s="48" t="inlineStr">
        <is>
          <t>DUXONE|DX5136</t>
        </is>
      </c>
      <c r="B17" s="48" t="inlineStr">
        <is>
          <t>DUXONE</t>
        </is>
      </c>
      <c r="C17" s="48" t="inlineStr">
        <is>
          <t>DX5136</t>
        </is>
      </c>
      <c r="D17" s="48" t="inlineStr">
        <is>
          <t>DX5136</t>
        </is>
      </c>
      <c r="E17" s="48" t="inlineStr"/>
      <c r="F17" s="48" t="inlineStr"/>
      <c r="G17" s="48" t="inlineStr">
        <is>
          <t>Metallic Adjuster</t>
        </is>
      </c>
      <c r="H17" s="48" t="inlineStr"/>
      <c r="I17" s="48" t="inlineStr">
        <is>
          <t>Metallic Adjuster</t>
        </is>
      </c>
      <c r="J17" s="48" t="inlineStr">
        <is>
          <t>Tylko do użycia w kolorach metalicznych i perłowych.
Powoduje ściemnienie koloru przy paotrzeniu „pod kątem” (NRSP)
Skutki uboczne:
Spowoduje rozjaśnienie „pod dużym katem” i płatki aluminium staną
się jaśniejsze.
Ponieważ płatki aluminium staną się jaśniejsze, może istnieć
konieczność udania się po drobniejsze aluminium.
Maksimum 12% w całkowitej wadze formuły koloru
Procedura aplikacji próbek kolorów Duxone® :
1. Dokładnie wybrać odpowiedni kolor we właściwym miejscu na samochodzie, na
prawidłowo oświetlanej powierzchni (w razie potrzeby mogą być użyte różne
źródła światła, w celu osiągnięcia właściwego koloru).
2. Użyj dokumentacji Variant Color Documentation korzystając z wzorca koloru,
który musi być w dobrym stanie.
3. Użyj pistoletu natryskowego przy właściwych ustawieniach (otwarcie i ciśnienie
na wejściu do pistoletu)
4. Należy ustawić pistolet natryskowy na całkowite otwarcie wydatku materiału w
pistolecie i nie modyfikować kształtu natrysku po ustawieniu pistoletu (próbka
koloru jest nakładana za pomocą pistoletu "całkowicie otwartego").
1.2 Wykonywanie próbek kolorów
Aplikacja &amp; Korygowanie
1.2 Wykonywanie próbek kolorów
Aplikacja &amp; Korygowanie
Procedura aplikacji próbek kolorów Duxone® :
5. Użyj próbki kolorów o minimalnych wymiarach10x15 cm (nie należy stosować
mniejszych próbek, ponieważ są zbyt wrażliwe na wahania aplikacji).
6. Nanoś bazę Duxone® na całym panelu (od góry do dołu, z użyciem 50%
zakładki).
7. Pozostawić do wyschnięcia. Przestrzegać zaleceń do suszenia lakieru
bazowego, gdzie jest maksymalna temperatura = 40ºC.
8. Przed oceną koloru należy nanieść lakier bezbarwny.
1.2 Wykonywanie próbek kolorów
Aplikacja &amp; Korygowanie
Co nie powinno się zdarzyć przy wykonywaniu próbki koloru:
1. Nie zmieniaj kształtu natrysku w czasie aplikacji koloru na próbkę.
Inny kształt = inne ciśnienie = inna atomizacja (rozpylenie).
2. Nie odmuchuj dla wysuszenia panelu przy użyciu pistoletu natryskowego,
to może wywołać przepływ powietrza 13 m/s.
3. Nie nagrzewaj panelu powyżej 40°C.
4. Nie aplikuj lakieru bazowego zbyt mokro, lecz próbuj uzyskać mokry film
na panelu w zgodzie z tym, co można uzyskać na samochodzie.
15
Jak obserwować kolor?
Kolor a kąt patrzenia
„na wprost” – źródło światła
jest nad obserwatorem 45°
„pod kątem” – źródło światła
jest nad obserwatorem 15°
„pod dużym kątem” – źródło
światła jest za obserwatorem
110°
DX5…
DX51.. → Komponenty Solid
DX52.. → Komponenty Aluminiowe &amp; Perlowe
DX53.. → Komponenty Xirallic
DX01..
ALUMINIOWE
Komponenty Solid
SOLID
Komponenty perłowe XIRALLIC
PERŁOWE &amp;
XIRALLIC</t>
        </is>
      </c>
      <c r="K17" s="48" t="inlineStr">
        <is>
          <t>g</t>
        </is>
      </c>
      <c r="L17" s="48" t="inlineStr">
        <is>
          <t>Modyfikator</t>
        </is>
      </c>
      <c r="M17" s="48" t="inlineStr">
        <is>
          <t>OK</t>
        </is>
      </c>
      <c r="N17" s="48" t="inlineStr"/>
      <c r="O17" s="48" t="inlineStr">
        <is>
          <t>PDF_DUXONE</t>
        </is>
      </c>
      <c r="P17" s="48" t="inlineStr">
        <is>
          <t>NIE</t>
        </is>
      </c>
      <c r="Q17" s="48" t="inlineStr">
        <is>
          <t>TAK</t>
        </is>
      </c>
      <c r="R17" s="48" t="inlineStr"/>
      <c r="S17" s="48" t="inlineStr">
        <is>
          <t>Tylko do użycia w kolorach metalicznych i perłowych.
Powoduje ściemnienie koloru przy paotrzeniu „pod kątem” (NRSP)
Skutki uboczne:
Spowoduje rozjaśnienie „pod dużym katem” i płatki aluminium staną
się jaśniejsze.
Ponieważ płatki aluminium staną się jaśniejsze, może istnieć
konieczność udania się po drobniejsze aluminium.
Maksimum 12% w całkowitej wadze formuły koloru
Procedura aplikacji próbek kolorów Duxone® :
1. Dokładnie wybrać odpowiedni kolor we właściwym miejscu na samochodzie, na
prawidłowo oświetlanej powierzchni (w razie potrzeby mogą być użyte różne
źródła światła, w celu osiągnięcia właściwego koloru).
2. Użyj dokumentacji Variant Color Documentation korzystając z wzorca koloru,
który musi być w dobrym stanie.
3. Użyj pistoletu natryskowego przy właściwych ustawieniach (otwarcie i ciśnienie
na wejściu do pistoletu)
4. Należy ustawić pistolet natryskowy na całkowite otwarcie wydatku materiału w
pistolecie i nie modyfikować kształtu natrysku po ustawieniu pistoletu (próbka
koloru jest nakładana za pomocą pistoletu "całkowicie otwartego").
1.2 Wykonywanie próbek kolorów
Aplikacja &amp; Korygowanie
1.2 Wykonywanie próbek kolorów
Aplikacja &amp; Korygowanie
Procedura aplikacji próbek kolorów Duxone® :
5. Użyj próbki kolorów o minimalnych wymiarach10x15 cm (nie należy stosować
mniejszych próbek, ponieważ są zbyt wrażliwe na wahania aplikacji).
6. Nanoś bazę Duxone® na całym panelu (od góry do dołu, z użyciem 50%
zakładki).
7. Pozostawić do wyschnięcia. Przestrzegać zaleceń do suszenia lakieru
bazowego, gdzie jest maksymalna temperatura = 40ºC.
8. Przed oceną koloru należy nanieść lakier bezbarwny.
1.2 Wykonywanie próbek kolorów
Aplikacja &amp; Korygowanie
Co nie powinno się zdarzyć przy wykonywaniu próbki koloru:
1. Nie zmieniaj kształtu natrysku w czasie aplikacji koloru na próbkę.
Inny kształt = inne ciśnienie = inna atomizacja (rozpylenie).
2. Nie odmuchuj dla wysuszenia panelu przy użyciu pistoletu natryskowego,
to może wywołać przepływ powietrza 13 m/s.
3. Nie nagrzewaj panelu powyżej 40°C.
4. Nie aplikuj lakieru bazowego zbyt mokro, lecz próbuj uzyskać mokry film
na panelu w zgodzie z tym, co można uzyskać na samochodzie.
15
Jak obserwować kolor?
Kolor a kąt patrzenia
„na wprost” – źródło światła
jest nad obserwatorem 45°
„pod kątem” – źródło światła
jest nad obserwatorem 15°
„pod dużym kątem” – źródło
światła jest za obserwatorem
110°
DX5…
DX51.. → Komponenty Solid
DX52.. → Komponenty Aluminiowe &amp; Perlowe
DX53.. → Komponenty Xirallic
DX01..
ALUMINIOWE
Komponenty Solid
SOLID
Komponenty perłowe XIRALLIC
PERŁOWE &amp;
XIRALLIC</t>
        </is>
      </c>
    </row>
    <row r="18" ht="48" customHeight="1">
      <c r="A18" s="48" t="inlineStr">
        <is>
          <t>DUXONE|DX5161</t>
        </is>
      </c>
      <c r="B18" s="48" t="inlineStr">
        <is>
          <t>DUXONE</t>
        </is>
      </c>
      <c r="C18" s="48" t="inlineStr">
        <is>
          <t>DX5161</t>
        </is>
      </c>
      <c r="D18" s="48" t="inlineStr">
        <is>
          <t>DX5161</t>
        </is>
      </c>
      <c r="E18" s="48" t="inlineStr"/>
      <c r="F18" s="48" t="inlineStr"/>
      <c r="G18" s="48" t="inlineStr">
        <is>
          <t>ORANGE</t>
        </is>
      </c>
      <c r="H18" s="48" t="inlineStr"/>
      <c r="I18" s="48" t="inlineStr">
        <is>
          <t>ORANGE</t>
        </is>
      </c>
      <c r="J18" s="48" t="inlineStr">
        <is>
          <t>Bardzo przezroczysty „pod kątem” (15°)
Bardzo czysty pomarańczowy
Ciemny pomarańczowy komponent w świetle żarówkowym</t>
        </is>
      </c>
      <c r="K18" s="48" t="inlineStr">
        <is>
          <t>g</t>
        </is>
      </c>
      <c r="L18" s="48" t="inlineStr">
        <is>
          <t>Solid</t>
        </is>
      </c>
      <c r="M18" s="48" t="inlineStr">
        <is>
          <t>OK</t>
        </is>
      </c>
      <c r="N18" s="48" t="inlineStr"/>
      <c r="O18" s="48" t="inlineStr">
        <is>
          <t>PDF_DUXONE</t>
        </is>
      </c>
      <c r="P18" s="48" t="inlineStr">
        <is>
          <t>NIE</t>
        </is>
      </c>
      <c r="Q18" s="48" t="inlineStr">
        <is>
          <t>TAK</t>
        </is>
      </c>
      <c r="R18" s="48" t="inlineStr"/>
      <c r="S18" s="48" t="inlineStr">
        <is>
          <t>Bardzo przezroczysty „pod kątem” (15°)
Bardzo czysty pomarańczowy
Ciemny pomarańczowy komponent w świetle żarówkowym</t>
        </is>
      </c>
    </row>
    <row r="19" ht="48" customHeight="1">
      <c r="A19" s="48" t="inlineStr">
        <is>
          <t>DUXONE|DX5143</t>
        </is>
      </c>
      <c r="B19" s="48" t="inlineStr">
        <is>
          <t>DUXONE</t>
        </is>
      </c>
      <c r="C19" s="48" t="inlineStr">
        <is>
          <t>DX5143</t>
        </is>
      </c>
      <c r="D19" s="48" t="inlineStr">
        <is>
          <t>DX5143</t>
        </is>
      </c>
      <c r="E19" s="48" t="inlineStr"/>
      <c r="F19" s="48" t="inlineStr"/>
      <c r="G19" s="48" t="inlineStr">
        <is>
          <t>RED</t>
        </is>
      </c>
      <c r="H19" s="48" t="inlineStr"/>
      <c r="I19" s="48" t="inlineStr">
        <is>
          <t>RED</t>
        </is>
      </c>
      <c r="J19" s="48" t="inlineStr">
        <is>
          <t>Używać w kolorach metalicznych tylko w razie konieczności
Substytut dla pigmentów zawierających ołów
Ciemny pomarańczowy komponent w świetle sodowym</t>
        </is>
      </c>
      <c r="K19" s="48" t="inlineStr">
        <is>
          <t>g</t>
        </is>
      </c>
      <c r="L19" s="48" t="inlineStr">
        <is>
          <t>Solid</t>
        </is>
      </c>
      <c r="M19" s="48" t="inlineStr">
        <is>
          <t>OK</t>
        </is>
      </c>
      <c r="N19" s="48" t="inlineStr"/>
      <c r="O19" s="48" t="inlineStr">
        <is>
          <t>PDF_DUXONE</t>
        </is>
      </c>
      <c r="P19" s="48" t="inlineStr">
        <is>
          <t>NIE</t>
        </is>
      </c>
      <c r="Q19" s="48" t="inlineStr">
        <is>
          <t>TAK</t>
        </is>
      </c>
      <c r="R19" s="48" t="inlineStr"/>
      <c r="S19" s="48" t="inlineStr">
        <is>
          <t>Używać w kolorach metalicznych tylko w razie konieczności
Substytut dla pigmentów zawierających ołów
Ciemny pomarańczowy komponent w świetle sodowym</t>
        </is>
      </c>
    </row>
    <row r="20" ht="48" customHeight="1">
      <c r="A20" s="48" t="inlineStr">
        <is>
          <t>DUXONE|DX5144</t>
        </is>
      </c>
      <c r="B20" s="48" t="inlineStr">
        <is>
          <t>DUXONE</t>
        </is>
      </c>
      <c r="C20" s="48" t="inlineStr">
        <is>
          <t>DX5144</t>
        </is>
      </c>
      <c r="D20" s="48" t="inlineStr">
        <is>
          <t>DX5144</t>
        </is>
      </c>
      <c r="E20" s="48" t="inlineStr"/>
      <c r="F20" s="48" t="inlineStr"/>
      <c r="G20" s="48" t="inlineStr">
        <is>
          <t>DARK RED</t>
        </is>
      </c>
      <c r="H20" s="48" t="inlineStr"/>
      <c r="I20" s="48" t="inlineStr">
        <is>
          <t>DARK RED</t>
        </is>
      </c>
      <c r="J20" s="48" t="inlineStr">
        <is>
          <t>Nasycony, kryjący czerwony komponent
Przeważnie używany w kolorach Solid
Może być używany w małych ilościach w kolorach z efektem do wytworzenia
czystego, jasnego czerwonego flopu (patrząc „pod duzym kątem”)</t>
        </is>
      </c>
      <c r="K20" s="48" t="inlineStr">
        <is>
          <t>g</t>
        </is>
      </c>
      <c r="L20" s="48" t="inlineStr">
        <is>
          <t>Solid</t>
        </is>
      </c>
      <c r="M20" s="48" t="inlineStr">
        <is>
          <t>OK</t>
        </is>
      </c>
      <c r="N20" s="48" t="inlineStr"/>
      <c r="O20" s="48" t="inlineStr">
        <is>
          <t>PDF_DUXONE</t>
        </is>
      </c>
      <c r="P20" s="48" t="inlineStr">
        <is>
          <t>NIE</t>
        </is>
      </c>
      <c r="Q20" s="48" t="inlineStr">
        <is>
          <t>TAK</t>
        </is>
      </c>
      <c r="R20" s="48" t="inlineStr"/>
      <c r="S20" s="48" t="inlineStr">
        <is>
          <t>Nasycony, kryjący czerwony komponent
Przeważnie używany w kolorach Solid
Może być używany w małych ilościach w kolorach z efektem do wytworzenia
czystego, jasnego czerwonego flopu (patrząc „pod duzym kątem”)</t>
        </is>
      </c>
    </row>
    <row r="21" ht="48" customHeight="1">
      <c r="A21" s="48" t="inlineStr">
        <is>
          <t>DUXONE|DX5145</t>
        </is>
      </c>
      <c r="B21" s="48" t="inlineStr">
        <is>
          <t>DUXONE</t>
        </is>
      </c>
      <c r="C21" s="48" t="inlineStr">
        <is>
          <t>DX5145</t>
        </is>
      </c>
      <c r="D21" s="48" t="inlineStr">
        <is>
          <t>DX5145</t>
        </is>
      </c>
      <c r="E21" s="48" t="inlineStr"/>
      <c r="F21" s="48" t="inlineStr"/>
      <c r="G21" s="48" t="inlineStr">
        <is>
          <t>PINK RED</t>
        </is>
      </c>
      <c r="H21" s="48" t="inlineStr"/>
      <c r="I21" s="48" t="inlineStr">
        <is>
          <t>PINK RED</t>
        </is>
      </c>
      <c r="J21" s="48" t="inlineStr">
        <is>
          <t>Czysty czerwony o niebieskim odcieniu
Mniej czerwonawy pigment w świetle żarówkowym w przeciwieństwie do
DX5146 i DX5189
Jeśłi zamieniasz DX5146 lub DX5189 na DX5145: zmniejsz stężenie o 5% i
zwiększ stężenie DX5110 o 10%</t>
        </is>
      </c>
      <c r="K21" s="48" t="inlineStr">
        <is>
          <t>g</t>
        </is>
      </c>
      <c r="L21" s="48" t="inlineStr">
        <is>
          <t>Solid</t>
        </is>
      </c>
      <c r="M21" s="48" t="inlineStr">
        <is>
          <t>OK</t>
        </is>
      </c>
      <c r="N21" s="48" t="inlineStr"/>
      <c r="O21" s="48" t="inlineStr">
        <is>
          <t>PDF_DUXONE</t>
        </is>
      </c>
      <c r="P21" s="48" t="inlineStr">
        <is>
          <t>NIE</t>
        </is>
      </c>
      <c r="Q21" s="48" t="inlineStr">
        <is>
          <t>TAK</t>
        </is>
      </c>
      <c r="R21" s="48" t="inlineStr"/>
      <c r="S21" s="48" t="inlineStr">
        <is>
          <t>Czysty czerwony o niebieskim odcieniu
Mniej czerwonawy pigment w świetle żarówkowym w przeciwieństwie do
DX5146 i DX5189
Jeśłi zamieniasz DX5146 lub DX5189 na DX5145: zmniejsz stężenie o 5% i
zwiększ stężenie DX5110 o 10%</t>
        </is>
      </c>
    </row>
    <row r="22" ht="48" customHeight="1">
      <c r="A22" s="48" t="inlineStr">
        <is>
          <t>DUXONE|DX5142</t>
        </is>
      </c>
      <c r="B22" s="48" t="inlineStr">
        <is>
          <t>DUXONE</t>
        </is>
      </c>
      <c r="C22" s="48" t="inlineStr">
        <is>
          <t>DX5142</t>
        </is>
      </c>
      <c r="D22" s="48" t="inlineStr">
        <is>
          <t>DX5142</t>
        </is>
      </c>
      <c r="E22" s="48" t="inlineStr"/>
      <c r="F22" s="48" t="inlineStr"/>
      <c r="G22" s="48" t="inlineStr">
        <is>
          <t>FLAMING RED</t>
        </is>
      </c>
      <c r="H22" s="48" t="inlineStr"/>
      <c r="I22" s="48" t="inlineStr">
        <is>
          <t>FLAMING RED</t>
        </is>
      </c>
      <c r="J22" s="48" t="inlineStr">
        <is>
          <t>Przezroczysty czerwony
Podobny do DX5123 ale bardziej niebieski odcień.
Bardzo jasny i czysty pod żródłem światła lampy (F11)</t>
        </is>
      </c>
      <c r="K22" s="48" t="inlineStr">
        <is>
          <t>g</t>
        </is>
      </c>
      <c r="L22" s="48" t="inlineStr">
        <is>
          <t>Solid</t>
        </is>
      </c>
      <c r="M22" s="48" t="inlineStr">
        <is>
          <t>OK</t>
        </is>
      </c>
      <c r="N22" s="48" t="inlineStr"/>
      <c r="O22" s="48" t="inlineStr">
        <is>
          <t>PDF_DUXONE</t>
        </is>
      </c>
      <c r="P22" s="48" t="inlineStr">
        <is>
          <t>NIE</t>
        </is>
      </c>
      <c r="Q22" s="48" t="inlineStr">
        <is>
          <t>TAK</t>
        </is>
      </c>
      <c r="R22" s="48" t="inlineStr"/>
      <c r="S22" s="48" t="inlineStr">
        <is>
          <t>Przezroczysty czerwony
Podobny do DX5123 ale bardziej niebieski odcień.
Bardzo jasny i czysty pod żródłem światła lampy (F11)</t>
        </is>
      </c>
    </row>
    <row r="23" ht="48" customHeight="1">
      <c r="A23" s="48" t="inlineStr">
        <is>
          <t>DUXONE|DX5146</t>
        </is>
      </c>
      <c r="B23" s="48" t="inlineStr">
        <is>
          <t>DUXONE</t>
        </is>
      </c>
      <c r="C23" s="48" t="inlineStr">
        <is>
          <t>DX5146</t>
        </is>
      </c>
      <c r="D23" s="48" t="inlineStr">
        <is>
          <t>DX5146</t>
        </is>
      </c>
      <c r="E23" s="48" t="inlineStr"/>
      <c r="F23" s="48" t="inlineStr"/>
      <c r="G23" s="48" t="inlineStr">
        <is>
          <t>MAGENTA RED</t>
        </is>
      </c>
      <c r="H23" s="48" t="inlineStr"/>
      <c r="I23" s="48" t="inlineStr">
        <is>
          <t>MAGENTA RED</t>
        </is>
      </c>
      <c r="J23" s="48" t="inlineStr">
        <is>
          <t>Czerwony o niebieskim odcieniu, przezroczysty komponent
DX5146 jest mniej nienasycony od DX5189
Najbardziej czerwony czerwony komponent patrząc „pod dużym kątem” (flop)
Bardziej przezroczysty od DX5189</t>
        </is>
      </c>
      <c r="K23" s="48" t="inlineStr">
        <is>
          <t>g</t>
        </is>
      </c>
      <c r="L23" s="48" t="inlineStr">
        <is>
          <t>Solid</t>
        </is>
      </c>
      <c r="M23" s="48" t="inlineStr">
        <is>
          <t>OK</t>
        </is>
      </c>
      <c r="N23" s="48" t="inlineStr"/>
      <c r="O23" s="48" t="inlineStr">
        <is>
          <t>PDF_DUXONE</t>
        </is>
      </c>
      <c r="P23" s="48" t="inlineStr">
        <is>
          <t>NIE</t>
        </is>
      </c>
      <c r="Q23" s="48" t="inlineStr">
        <is>
          <t>TAK</t>
        </is>
      </c>
      <c r="R23" s="48" t="inlineStr"/>
      <c r="S23" s="48" t="inlineStr">
        <is>
          <t>Czerwony o niebieskim odcieniu, przezroczysty komponent
DX5146 jest mniej nienasycony od DX5189
Najbardziej czerwony czerwony komponent patrząc „pod dużym kątem” (flop)
Bardziej przezroczysty od DX5189</t>
        </is>
      </c>
    </row>
    <row r="24" ht="48" customHeight="1">
      <c r="A24" s="48" t="inlineStr">
        <is>
          <t>DUXONE|DX5147</t>
        </is>
      </c>
      <c r="B24" s="48" t="inlineStr">
        <is>
          <t>DUXONE</t>
        </is>
      </c>
      <c r="C24" s="48" t="inlineStr">
        <is>
          <t>DX5147</t>
        </is>
      </c>
      <c r="D24" s="48" t="inlineStr">
        <is>
          <t>DX5147</t>
        </is>
      </c>
      <c r="E24" s="48" t="inlineStr"/>
      <c r="F24" s="48" t="inlineStr"/>
      <c r="G24" s="48" t="inlineStr">
        <is>
          <t>LIGHT RED</t>
        </is>
      </c>
      <c r="H24" s="48" t="inlineStr"/>
      <c r="I24" s="48" t="inlineStr">
        <is>
          <t>LIGHT RED</t>
        </is>
      </c>
      <c r="J24" s="48" t="inlineStr">
        <is>
          <t>Przezroczysty, czerwony komponent (żywy, nasycony pomarańczowy)
Nasycony czerwony o żółtym odcieniu pod każdym kątem</t>
        </is>
      </c>
      <c r="K24" s="48" t="inlineStr">
        <is>
          <t>g</t>
        </is>
      </c>
      <c r="L24" s="48" t="inlineStr">
        <is>
          <t>Solid</t>
        </is>
      </c>
      <c r="M24" s="48" t="inlineStr">
        <is>
          <t>OK</t>
        </is>
      </c>
      <c r="N24" s="48" t="inlineStr"/>
      <c r="O24" s="48" t="inlineStr">
        <is>
          <t>PDF_DUXONE</t>
        </is>
      </c>
      <c r="P24" s="48" t="inlineStr">
        <is>
          <t>NIE</t>
        </is>
      </c>
      <c r="Q24" s="48" t="inlineStr">
        <is>
          <t>TAK</t>
        </is>
      </c>
      <c r="R24" s="48" t="inlineStr"/>
      <c r="S24" s="48" t="inlineStr">
        <is>
          <t>Przezroczysty, czerwony komponent (żywy, nasycony pomarańczowy)
Nasycony czerwony o żółtym odcieniu pod każdym kątem</t>
        </is>
      </c>
    </row>
    <row r="25" ht="48" customHeight="1">
      <c r="A25" s="48" t="inlineStr">
        <is>
          <t>DUXONE|DX5149</t>
        </is>
      </c>
      <c r="B25" s="48" t="inlineStr">
        <is>
          <t>DUXONE</t>
        </is>
      </c>
      <c r="C25" s="48" t="inlineStr">
        <is>
          <t>DX5149</t>
        </is>
      </c>
      <c r="D25" s="48" t="inlineStr">
        <is>
          <t>DX5149</t>
        </is>
      </c>
      <c r="E25" s="48" t="inlineStr"/>
      <c r="F25" s="48" t="inlineStr"/>
      <c r="G25" s="48" t="inlineStr">
        <is>
          <t>BRIGHT RED</t>
        </is>
      </c>
      <c r="H25" s="48" t="inlineStr"/>
      <c r="I25" s="48" t="inlineStr">
        <is>
          <t>BRIGHT RED</t>
        </is>
      </c>
      <c r="J25" s="48" t="inlineStr">
        <is>
          <t>Bardziej czerwonawy pigment w świetle dziennym (D65)
Ciemny w świetle sodowym</t>
        </is>
      </c>
      <c r="K25" s="48" t="inlineStr">
        <is>
          <t>g</t>
        </is>
      </c>
      <c r="L25" s="48" t="inlineStr">
        <is>
          <t>Solid</t>
        </is>
      </c>
      <c r="M25" s="48" t="inlineStr">
        <is>
          <t>OK</t>
        </is>
      </c>
      <c r="N25" s="48" t="inlineStr"/>
      <c r="O25" s="48" t="inlineStr">
        <is>
          <t>PDF_DUXONE</t>
        </is>
      </c>
      <c r="P25" s="48" t="inlineStr">
        <is>
          <t>NIE</t>
        </is>
      </c>
      <c r="Q25" s="48" t="inlineStr">
        <is>
          <t>TAK</t>
        </is>
      </c>
      <c r="R25" s="48" t="inlineStr"/>
      <c r="S25" s="48" t="inlineStr">
        <is>
          <t>Bardziej czerwonawy pigment w świetle dziennym (D65)
Ciemny w świetle sodowym</t>
        </is>
      </c>
    </row>
    <row r="26" ht="48" customHeight="1">
      <c r="A26" s="51" t="inlineStr">
        <is>
          <t>DUXONE|DX5155</t>
        </is>
      </c>
      <c r="B26" s="51" t="inlineStr">
        <is>
          <t>DUXONE</t>
        </is>
      </c>
      <c r="C26" s="51" t="inlineStr">
        <is>
          <t>DX5155</t>
        </is>
      </c>
      <c r="D26" s="51" t="inlineStr">
        <is>
          <t>DX5155</t>
        </is>
      </c>
      <c r="E26" s="51" t="inlineStr"/>
      <c r="F26" s="51" t="inlineStr"/>
      <c r="G26" s="51" t="inlineStr"/>
      <c r="H26" s="51" t="inlineStr"/>
      <c r="I26" s="51" t="inlineStr"/>
      <c r="J26" s="51" t="inlineStr"/>
      <c r="K26" s="51" t="inlineStr">
        <is>
          <t>g</t>
        </is>
      </c>
      <c r="L26" s="51" t="inlineStr">
        <is>
          <t>Solid</t>
        </is>
      </c>
      <c r="M26" s="51" t="inlineStr">
        <is>
          <t>DO WERYFIKACJI</t>
        </is>
      </c>
      <c r="N26" s="51" t="inlineStr">
        <is>
          <t>Brak nazwy w PDF dobarwiania i w ODS</t>
        </is>
      </c>
      <c r="O26" s="51" t="inlineStr">
        <is>
          <t>BRAK</t>
        </is>
      </c>
      <c r="P26" s="51" t="inlineStr">
        <is>
          <t>NIE</t>
        </is>
      </c>
      <c r="Q26" s="51" t="inlineStr">
        <is>
          <t>TAK</t>
        </is>
      </c>
      <c r="R26" s="51" t="inlineStr"/>
      <c r="S26" s="51" t="inlineStr"/>
    </row>
    <row r="27" ht="48" customHeight="1">
      <c r="A27" s="48" t="inlineStr">
        <is>
          <t>DUXONE|DX5162</t>
        </is>
      </c>
      <c r="B27" s="48" t="inlineStr">
        <is>
          <t>DUXONE</t>
        </is>
      </c>
      <c r="C27" s="48" t="inlineStr">
        <is>
          <t>DX5162</t>
        </is>
      </c>
      <c r="D27" s="48" t="inlineStr">
        <is>
          <t>DX5162</t>
        </is>
      </c>
      <c r="E27" s="48" t="inlineStr"/>
      <c r="F27" s="48" t="inlineStr"/>
      <c r="G27" s="48" t="inlineStr">
        <is>
          <t>YELLOW ORANGE (LEAD FREE)</t>
        </is>
      </c>
      <c r="H27" s="48" t="inlineStr"/>
      <c r="I27" s="48" t="inlineStr">
        <is>
          <t>YELLOW ORANGE (LEAD FREE)</t>
        </is>
      </c>
      <c r="J27" s="48" t="inlineStr">
        <is>
          <t>Kryjacy komponent dla kolorów solid
Stosowany w małych ilościach w kolorach z efektem do uzyskania bardzo
zielonego i jasnego wyglądu „pod dużym kątem” (flop)
Zielony w świetle żarówkowym</t>
        </is>
      </c>
      <c r="K27" s="48" t="inlineStr">
        <is>
          <t>g</t>
        </is>
      </c>
      <c r="L27" s="48" t="inlineStr">
        <is>
          <t>Solid</t>
        </is>
      </c>
      <c r="M27" s="48" t="inlineStr">
        <is>
          <t>OK</t>
        </is>
      </c>
      <c r="N27" s="48" t="inlineStr"/>
      <c r="O27" s="48" t="inlineStr">
        <is>
          <t>PDF_DUXONE</t>
        </is>
      </c>
      <c r="P27" s="48" t="inlineStr">
        <is>
          <t>NIE</t>
        </is>
      </c>
      <c r="Q27" s="48" t="inlineStr">
        <is>
          <t>TAK</t>
        </is>
      </c>
      <c r="R27" s="48" t="inlineStr"/>
      <c r="S27" s="48" t="inlineStr">
        <is>
          <t>Kryjacy komponent dla kolorów solid
Stosowany w małych ilościach w kolorach z efektem do uzyskania bardzo
zielonego i jasnego wyglądu „pod dużym kątem” (flop)
Zielony w świetle żarówkowym</t>
        </is>
      </c>
    </row>
    <row r="28" ht="48" customHeight="1">
      <c r="A28" s="48" t="inlineStr">
        <is>
          <t>DUXONE|DX5163</t>
        </is>
      </c>
      <c r="B28" s="48" t="inlineStr">
        <is>
          <t>DUXONE</t>
        </is>
      </c>
      <c r="C28" s="48" t="inlineStr">
        <is>
          <t>DX5163</t>
        </is>
      </c>
      <c r="D28" s="48" t="inlineStr">
        <is>
          <t>DX5163</t>
        </is>
      </c>
      <c r="E28" s="48" t="inlineStr"/>
      <c r="F28" s="48" t="inlineStr"/>
      <c r="G28" s="48" t="inlineStr">
        <is>
          <t>EFFECT YELLOW (LEAD FREE)</t>
        </is>
      </c>
      <c r="H28" s="48" t="inlineStr"/>
      <c r="I28" s="48" t="inlineStr">
        <is>
          <t>EFFECT YELLOW (LEAD FREE)</t>
        </is>
      </c>
      <c r="J28" s="48" t="inlineStr">
        <is>
          <t>Przezroczysty żółty komponent (żywy, nasycony czerwony)
Żółty z czerwonym odcieniem w świetle dziennym (D65)
Zielony efekt w świetle żarówkowym
Ten komponent jest bardziej nasycony jak DX5162
Do użytku z kolorami metalicznymi</t>
        </is>
      </c>
      <c r="K28" s="48" t="inlineStr">
        <is>
          <t>g</t>
        </is>
      </c>
      <c r="L28" s="48" t="inlineStr">
        <is>
          <t>Solid</t>
        </is>
      </c>
      <c r="M28" s="48" t="inlineStr">
        <is>
          <t>OK</t>
        </is>
      </c>
      <c r="N28" s="48" t="inlineStr"/>
      <c r="O28" s="48" t="inlineStr">
        <is>
          <t>PDF_DUXONE</t>
        </is>
      </c>
      <c r="P28" s="48" t="inlineStr">
        <is>
          <t>NIE</t>
        </is>
      </c>
      <c r="Q28" s="48" t="inlineStr">
        <is>
          <t>TAK</t>
        </is>
      </c>
      <c r="R28" s="48" t="inlineStr"/>
      <c r="S28" s="48" t="inlineStr">
        <is>
          <t>Przezroczysty żółty komponent (żywy, nasycony czerwony)
Żółty z czerwonym odcieniem w świetle dziennym (D65)
Zielony efekt w świetle żarówkowym
Ten komponent jest bardziej nasycony jak DX5162
Do użytku z kolorami metalicznymi</t>
        </is>
      </c>
    </row>
    <row r="29" ht="48" customHeight="1">
      <c r="A29" s="48" t="inlineStr">
        <is>
          <t>DUXONE|DX5166</t>
        </is>
      </c>
      <c r="B29" s="48" t="inlineStr">
        <is>
          <t>DUXONE</t>
        </is>
      </c>
      <c r="C29" s="48" t="inlineStr">
        <is>
          <t>DX5166</t>
        </is>
      </c>
      <c r="D29" s="48" t="inlineStr">
        <is>
          <t>DX5166</t>
        </is>
      </c>
      <c r="E29" s="48" t="inlineStr"/>
      <c r="F29" s="48" t="inlineStr"/>
      <c r="G29" s="48" t="inlineStr">
        <is>
          <t>EFFECT LIGHT YELLOW (LEAD FREE)</t>
        </is>
      </c>
      <c r="H29" s="48" t="inlineStr"/>
      <c r="I29" s="48" t="inlineStr">
        <is>
          <t>EFFECT LIGHT YELLOW (LEAD FREE)</t>
        </is>
      </c>
      <c r="J29" s="48" t="inlineStr">
        <is>
          <t>Przezroczysty żółty odcień
Najbardziej czerwonawy żółty komponent w świetle żarówkowym
Staje się jaśniejszy w oświetleniu sodowym</t>
        </is>
      </c>
      <c r="K29" s="48" t="inlineStr">
        <is>
          <t>g</t>
        </is>
      </c>
      <c r="L29" s="48" t="inlineStr">
        <is>
          <t>Solid</t>
        </is>
      </c>
      <c r="M29" s="48" t="inlineStr">
        <is>
          <t>OK</t>
        </is>
      </c>
      <c r="N29" s="48" t="inlineStr"/>
      <c r="O29" s="48" t="inlineStr">
        <is>
          <t>PDF_DUXONE</t>
        </is>
      </c>
      <c r="P29" s="48" t="inlineStr">
        <is>
          <t>NIE</t>
        </is>
      </c>
      <c r="Q29" s="48" t="inlineStr">
        <is>
          <t>TAK</t>
        </is>
      </c>
      <c r="R29" s="48" t="inlineStr"/>
      <c r="S29" s="48" t="inlineStr">
        <is>
          <t>Przezroczysty żółty odcień
Najbardziej czerwonawy żółty komponent w świetle żarówkowym
Staje się jaśniejszy w oświetleniu sodowym</t>
        </is>
      </c>
    </row>
    <row r="30" ht="48" customHeight="1">
      <c r="A30" s="48" t="inlineStr">
        <is>
          <t>DUXONE|DX5167</t>
        </is>
      </c>
      <c r="B30" s="48" t="inlineStr">
        <is>
          <t>DUXONE</t>
        </is>
      </c>
      <c r="C30" s="48" t="inlineStr">
        <is>
          <t>DX5167</t>
        </is>
      </c>
      <c r="D30" s="48" t="inlineStr">
        <is>
          <t>DX5167</t>
        </is>
      </c>
      <c r="E30" s="48" t="inlineStr"/>
      <c r="F30" s="48" t="inlineStr"/>
      <c r="G30" s="48" t="inlineStr">
        <is>
          <t>YELLOW (LEAD FREE)</t>
        </is>
      </c>
      <c r="H30" s="48" t="inlineStr"/>
      <c r="I30" s="48" t="inlineStr">
        <is>
          <t>YELLOW (LEAD FREE)</t>
        </is>
      </c>
      <c r="J30" s="48" t="inlineStr">
        <is>
          <t>Kryjący komponent dla kolorów solid
Nasycony żółty odcień
Najciemniejszy żółty w oświetleniu sodowym</t>
        </is>
      </c>
      <c r="K30" s="48" t="inlineStr">
        <is>
          <t>g</t>
        </is>
      </c>
      <c r="L30" s="48" t="inlineStr">
        <is>
          <t>Solid</t>
        </is>
      </c>
      <c r="M30" s="48" t="inlineStr">
        <is>
          <t>OK</t>
        </is>
      </c>
      <c r="N30" s="48" t="inlineStr"/>
      <c r="O30" s="48" t="inlineStr">
        <is>
          <t>PDF_DUXONE</t>
        </is>
      </c>
      <c r="P30" s="48" t="inlineStr">
        <is>
          <t>NIE</t>
        </is>
      </c>
      <c r="Q30" s="48" t="inlineStr">
        <is>
          <t>TAK</t>
        </is>
      </c>
      <c r="R30" s="48" t="inlineStr"/>
      <c r="S30" s="48" t="inlineStr">
        <is>
          <t>Kryjący komponent dla kolorów solid
Nasycony żółty odcień
Najciemniejszy żółty w oświetleniu sodowym</t>
        </is>
      </c>
    </row>
    <row r="31" ht="48" customHeight="1">
      <c r="A31" s="48" t="inlineStr">
        <is>
          <t>DUXONE|DX5168</t>
        </is>
      </c>
      <c r="B31" s="48" t="inlineStr">
        <is>
          <t>DUXONE</t>
        </is>
      </c>
      <c r="C31" s="48" t="inlineStr">
        <is>
          <t>DX5168</t>
        </is>
      </c>
      <c r="D31" s="48" t="inlineStr">
        <is>
          <t>DX5168</t>
        </is>
      </c>
      <c r="E31" s="48" t="inlineStr"/>
      <c r="F31" s="48" t="inlineStr"/>
      <c r="G31" s="48" t="inlineStr">
        <is>
          <t>YELLOW BROWN</t>
        </is>
      </c>
      <c r="H31" s="48" t="inlineStr"/>
      <c r="I31" s="48" t="inlineStr">
        <is>
          <t>YELLOW BROWN</t>
        </is>
      </c>
      <c r="J31" s="48" t="inlineStr">
        <is>
          <t>Kryjący komponent o zielono / żółtym odcieniu
Może być używany w małych ilościach do kolorów z efektem dla uzyskania
jasnego i żółtego wyglądu „pod dużym kątem” (flop)</t>
        </is>
      </c>
      <c r="K31" s="48" t="inlineStr">
        <is>
          <t>g</t>
        </is>
      </c>
      <c r="L31" s="48" t="inlineStr">
        <is>
          <t>Solid</t>
        </is>
      </c>
      <c r="M31" s="48" t="inlineStr">
        <is>
          <t>OK</t>
        </is>
      </c>
      <c r="N31" s="48" t="inlineStr"/>
      <c r="O31" s="48" t="inlineStr">
        <is>
          <t>PDF_DUXONE</t>
        </is>
      </c>
      <c r="P31" s="48" t="inlineStr">
        <is>
          <t>NIE</t>
        </is>
      </c>
      <c r="Q31" s="48" t="inlineStr">
        <is>
          <t>TAK</t>
        </is>
      </c>
      <c r="R31" s="48" t="inlineStr"/>
      <c r="S31" s="48" t="inlineStr">
        <is>
          <t>Kryjący komponent o zielono / żółtym odcieniu
Może być używany w małych ilościach do kolorów z efektem dla uzyskania
jasnego i żółtego wyglądu „pod dużym kątem” (flop)</t>
        </is>
      </c>
    </row>
    <row r="32" ht="48" customHeight="1">
      <c r="A32" s="48" t="inlineStr">
        <is>
          <t>DUXONE|DX5171</t>
        </is>
      </c>
      <c r="B32" s="48" t="inlineStr">
        <is>
          <t>DUXONE</t>
        </is>
      </c>
      <c r="C32" s="48" t="inlineStr">
        <is>
          <t>DX5171</t>
        </is>
      </c>
      <c r="D32" s="48" t="inlineStr">
        <is>
          <t>DX5171</t>
        </is>
      </c>
      <c r="E32" s="48" t="inlineStr"/>
      <c r="F32" s="48" t="inlineStr"/>
      <c r="G32" s="48" t="inlineStr">
        <is>
          <t>YELLOW GREEN</t>
        </is>
      </c>
      <c r="H32" s="48" t="inlineStr"/>
      <c r="I32" s="48" t="inlineStr">
        <is>
          <t>YELLOW GREEN</t>
        </is>
      </c>
      <c r="J32" s="48" t="inlineStr">
        <is>
          <t>Jaśniejszy od DX5172 patrząc „pod dużym kątem”
Zielony z odcieniem żółtego</t>
        </is>
      </c>
      <c r="K32" s="48" t="inlineStr">
        <is>
          <t>g</t>
        </is>
      </c>
      <c r="L32" s="48" t="inlineStr">
        <is>
          <t>Solid</t>
        </is>
      </c>
      <c r="M32" s="48" t="inlineStr">
        <is>
          <t>OK</t>
        </is>
      </c>
      <c r="N32" s="48" t="inlineStr"/>
      <c r="O32" s="48" t="inlineStr">
        <is>
          <t>PDF_DUXONE</t>
        </is>
      </c>
      <c r="P32" s="48" t="inlineStr">
        <is>
          <t>NIE</t>
        </is>
      </c>
      <c r="Q32" s="48" t="inlineStr">
        <is>
          <t>TAK</t>
        </is>
      </c>
      <c r="R32" s="48" t="inlineStr"/>
      <c r="S32" s="48" t="inlineStr">
        <is>
          <t>Jaśniejszy od DX5172 patrząc „pod dużym kątem”
Zielony z odcieniem żółtego</t>
        </is>
      </c>
    </row>
    <row r="33" ht="48" customHeight="1">
      <c r="A33" s="48" t="inlineStr">
        <is>
          <t>DUXONE|DX5172</t>
        </is>
      </c>
      <c r="B33" s="48" t="inlineStr">
        <is>
          <t>DUXONE</t>
        </is>
      </c>
      <c r="C33" s="48" t="inlineStr">
        <is>
          <t>DX5172</t>
        </is>
      </c>
      <c r="D33" s="48" t="inlineStr">
        <is>
          <t>DX5172</t>
        </is>
      </c>
      <c r="E33" s="48" t="inlineStr"/>
      <c r="F33" s="48" t="inlineStr"/>
      <c r="G33" s="48" t="inlineStr">
        <is>
          <t>GREEN</t>
        </is>
      </c>
      <c r="H33" s="48" t="inlineStr"/>
      <c r="I33" s="48" t="inlineStr">
        <is>
          <t>GREEN</t>
        </is>
      </c>
      <c r="J33" s="48" t="inlineStr">
        <is>
          <t>Zielony z odcieniem niebieskiego</t>
        </is>
      </c>
      <c r="K33" s="48" t="inlineStr">
        <is>
          <t>g</t>
        </is>
      </c>
      <c r="L33" s="48" t="inlineStr">
        <is>
          <t>Solid</t>
        </is>
      </c>
      <c r="M33" s="48" t="inlineStr">
        <is>
          <t>OK</t>
        </is>
      </c>
      <c r="N33" s="48" t="inlineStr"/>
      <c r="O33" s="48" t="inlineStr">
        <is>
          <t>PDF_DUXONE</t>
        </is>
      </c>
      <c r="P33" s="48" t="inlineStr">
        <is>
          <t>NIE</t>
        </is>
      </c>
      <c r="Q33" s="48" t="inlineStr">
        <is>
          <t>TAK</t>
        </is>
      </c>
      <c r="R33" s="48" t="inlineStr"/>
      <c r="S33" s="48" t="inlineStr">
        <is>
          <t>Zielony z odcieniem niebieskiego</t>
        </is>
      </c>
    </row>
    <row r="34" ht="48" customHeight="1">
      <c r="A34" s="48" t="inlineStr">
        <is>
          <t>DUXONE|DX5173</t>
        </is>
      </c>
      <c r="B34" s="48" t="inlineStr">
        <is>
          <t>DUXONE</t>
        </is>
      </c>
      <c r="C34" s="48" t="inlineStr">
        <is>
          <t>DX5173</t>
        </is>
      </c>
      <c r="D34" s="48" t="inlineStr">
        <is>
          <t>DX5173</t>
        </is>
      </c>
      <c r="E34" s="48" t="inlineStr"/>
      <c r="F34" s="48" t="inlineStr"/>
      <c r="G34" s="48" t="inlineStr">
        <is>
          <t>BRIGHT GREEN</t>
        </is>
      </c>
      <c r="H34" s="48" t="inlineStr"/>
      <c r="I34" s="48" t="inlineStr">
        <is>
          <t>BRIGHT GREEN</t>
        </is>
      </c>
      <c r="J34" s="48" t="inlineStr">
        <is>
          <t>Przezroczysty zielony z odcieniem żółtego
Zielono-żółty w świetle dziennym (D65) i czerwonawy efekt w świetle
żarówkowym w kolorach metalicznych
Może być używany z kolorami Solid w dużych ilościach (jeśli jest taka potrzeba)</t>
        </is>
      </c>
      <c r="K34" s="48" t="inlineStr">
        <is>
          <t>g</t>
        </is>
      </c>
      <c r="L34" s="48" t="inlineStr">
        <is>
          <t>Solid</t>
        </is>
      </c>
      <c r="M34" s="48" t="inlineStr">
        <is>
          <t>OK</t>
        </is>
      </c>
      <c r="N34" s="48" t="inlineStr"/>
      <c r="O34" s="48" t="inlineStr">
        <is>
          <t>PDF_DUXONE</t>
        </is>
      </c>
      <c r="P34" s="48" t="inlineStr">
        <is>
          <t>NIE</t>
        </is>
      </c>
      <c r="Q34" s="48" t="inlineStr">
        <is>
          <t>TAK</t>
        </is>
      </c>
      <c r="R34" s="48" t="inlineStr"/>
      <c r="S34" s="48" t="inlineStr">
        <is>
          <t>Przezroczysty zielony z odcieniem żółtego
Zielono-żółty w świetle dziennym (D65) i czerwonawy efekt w świetle
żarówkowym w kolorach metalicznych
Może być używany z kolorami Solid w dużych ilościach (jeśli jest taka potrzeba)</t>
        </is>
      </c>
    </row>
    <row r="35" ht="48" customHeight="1">
      <c r="A35" s="48" t="inlineStr">
        <is>
          <t>DUXONE|DX5174</t>
        </is>
      </c>
      <c r="B35" s="48" t="inlineStr">
        <is>
          <t>DUXONE</t>
        </is>
      </c>
      <c r="C35" s="48" t="inlineStr">
        <is>
          <t>DX5174</t>
        </is>
      </c>
      <c r="D35" s="48" t="inlineStr">
        <is>
          <t>DX5174</t>
        </is>
      </c>
      <c r="E35" s="48" t="inlineStr"/>
      <c r="F35" s="48" t="inlineStr"/>
      <c r="G35" s="48" t="inlineStr">
        <is>
          <t>GOLD GREEN</t>
        </is>
      </c>
      <c r="H35" s="48" t="inlineStr"/>
      <c r="I35" s="48" t="inlineStr">
        <is>
          <t>GOLD GREEN</t>
        </is>
      </c>
      <c r="J35" s="48" t="inlineStr">
        <is>
          <t>Nasycony, przezroczysty zielony z zółtym odcieniem
Podobny do DX5173 ale bardziej nasycony i czystrzy</t>
        </is>
      </c>
      <c r="K35" s="48" t="inlineStr">
        <is>
          <t>g</t>
        </is>
      </c>
      <c r="L35" s="48" t="inlineStr">
        <is>
          <t>Solid</t>
        </is>
      </c>
      <c r="M35" s="48" t="inlineStr">
        <is>
          <t>OK</t>
        </is>
      </c>
      <c r="N35" s="48" t="inlineStr"/>
      <c r="O35" s="48" t="inlineStr">
        <is>
          <t>PDF_DUXONE</t>
        </is>
      </c>
      <c r="P35" s="48" t="inlineStr">
        <is>
          <t>NIE</t>
        </is>
      </c>
      <c r="Q35" s="48" t="inlineStr">
        <is>
          <t>TAK</t>
        </is>
      </c>
      <c r="R35" s="48" t="inlineStr"/>
      <c r="S35" s="48" t="inlineStr">
        <is>
          <t>Nasycony, przezroczysty zielony z zółtym odcieniem
Podobny do DX5173 ale bardziej nasycony i czystrzy</t>
        </is>
      </c>
    </row>
    <row r="36" ht="48" customHeight="1">
      <c r="A36" s="48" t="inlineStr">
        <is>
          <t>DUXONE|DX5181</t>
        </is>
      </c>
      <c r="B36" s="48" t="inlineStr">
        <is>
          <t>DUXONE</t>
        </is>
      </c>
      <c r="C36" s="48" t="inlineStr">
        <is>
          <t>DX5181</t>
        </is>
      </c>
      <c r="D36" s="48" t="inlineStr">
        <is>
          <t>DX5181</t>
        </is>
      </c>
      <c r="E36" s="48" t="inlineStr"/>
      <c r="F36" s="48" t="inlineStr"/>
      <c r="G36" s="48" t="inlineStr">
        <is>
          <t>GREEN BLUE</t>
        </is>
      </c>
      <c r="H36" s="48" t="inlineStr"/>
      <c r="I36" s="48" t="inlineStr">
        <is>
          <t>GREEN BLUE</t>
        </is>
      </c>
      <c r="J36" s="48" t="inlineStr">
        <is>
          <t>Zielony w świetle dziennym (D65)
Staje się bardziej zielony w świetle żarówkowym
Zielony patrząc „na wprost”
Zielony
Czerwony</t>
        </is>
      </c>
      <c r="K36" s="48" t="inlineStr">
        <is>
          <t>g</t>
        </is>
      </c>
      <c r="L36" s="48" t="inlineStr">
        <is>
          <t>Solid</t>
        </is>
      </c>
      <c r="M36" s="48" t="inlineStr">
        <is>
          <t>OK</t>
        </is>
      </c>
      <c r="N36" s="48" t="inlineStr"/>
      <c r="O36" s="48" t="inlineStr">
        <is>
          <t>PDF_DUXONE</t>
        </is>
      </c>
      <c r="P36" s="48" t="inlineStr">
        <is>
          <t>NIE</t>
        </is>
      </c>
      <c r="Q36" s="48" t="inlineStr">
        <is>
          <t>TAK</t>
        </is>
      </c>
      <c r="R36" s="48" t="inlineStr"/>
      <c r="S36" s="48" t="inlineStr">
        <is>
          <t>Zielony w świetle dziennym (D65)
Staje się bardziej zielony w świetle żarówkowym
Zielony patrząc „na wprost”
Zielony
Czerwony</t>
        </is>
      </c>
    </row>
    <row r="37" ht="48" customHeight="1">
      <c r="A37" s="48" t="inlineStr">
        <is>
          <t>DUXONE|DX5182</t>
        </is>
      </c>
      <c r="B37" s="48" t="inlineStr">
        <is>
          <t>DUXONE</t>
        </is>
      </c>
      <c r="C37" s="48" t="inlineStr">
        <is>
          <t>DX5182</t>
        </is>
      </c>
      <c r="D37" s="48" t="inlineStr">
        <is>
          <t>DX5182</t>
        </is>
      </c>
      <c r="E37" s="48" t="inlineStr"/>
      <c r="F37" s="48" t="inlineStr"/>
      <c r="G37" s="48" t="inlineStr">
        <is>
          <t>EFFECT BLUE</t>
        </is>
      </c>
      <c r="H37" s="48" t="inlineStr"/>
      <c r="I37" s="48" t="inlineStr">
        <is>
          <t>EFFECT BLUE</t>
        </is>
      </c>
      <c r="J37" s="48" t="inlineStr">
        <is>
          <t>Niebieski z zielonym odcieniem „pod dużym kątem” (flop)
Czerwony patrząc „na wprost”</t>
        </is>
      </c>
      <c r="K37" s="48" t="inlineStr">
        <is>
          <t>g</t>
        </is>
      </c>
      <c r="L37" s="48" t="inlineStr">
        <is>
          <t>Solid</t>
        </is>
      </c>
      <c r="M37" s="48" t="inlineStr">
        <is>
          <t>OK</t>
        </is>
      </c>
      <c r="N37" s="48" t="inlineStr"/>
      <c r="O37" s="48" t="inlineStr">
        <is>
          <t>PDF_DUXONE</t>
        </is>
      </c>
      <c r="P37" s="48" t="inlineStr">
        <is>
          <t>NIE</t>
        </is>
      </c>
      <c r="Q37" s="48" t="inlineStr">
        <is>
          <t>TAK</t>
        </is>
      </c>
      <c r="R37" s="48" t="inlineStr"/>
      <c r="S37" s="48" t="inlineStr">
        <is>
          <t>Niebieski z zielonym odcieniem „pod dużym kątem” (flop)
Czerwony patrząc „na wprost”</t>
        </is>
      </c>
    </row>
    <row r="38" ht="48" customHeight="1">
      <c r="A38" s="48" t="inlineStr">
        <is>
          <t>DUXONE|DX5184</t>
        </is>
      </c>
      <c r="B38" s="48" t="inlineStr">
        <is>
          <t>DUXONE</t>
        </is>
      </c>
      <c r="C38" s="48" t="inlineStr">
        <is>
          <t>DX5184</t>
        </is>
      </c>
      <c r="D38" s="48" t="inlineStr">
        <is>
          <t>DX5184</t>
        </is>
      </c>
      <c r="E38" s="48" t="inlineStr"/>
      <c r="F38" s="48" t="inlineStr"/>
      <c r="G38" s="48" t="inlineStr">
        <is>
          <t>„Pod kątem”</t>
        </is>
      </c>
      <c r="H38" s="48" t="inlineStr"/>
      <c r="I38" s="48" t="inlineStr">
        <is>
          <t>„Pod kątem”</t>
        </is>
      </c>
      <c r="J38" s="48" t="inlineStr">
        <is>
          <t>„Na wprost”
„Pod dużym kątem”
Ogólnie - Światło dzienne (D65) / światło słoneczne</t>
        </is>
      </c>
      <c r="K38" s="48" t="inlineStr">
        <is>
          <t>g</t>
        </is>
      </c>
      <c r="L38" s="48" t="inlineStr">
        <is>
          <t>Solid</t>
        </is>
      </c>
      <c r="M38" s="48" t="inlineStr">
        <is>
          <t>OK</t>
        </is>
      </c>
      <c r="N38" s="48" t="inlineStr"/>
      <c r="O38" s="48" t="inlineStr">
        <is>
          <t>PDF_DUXONE</t>
        </is>
      </c>
      <c r="P38" s="48" t="inlineStr">
        <is>
          <t>NIE</t>
        </is>
      </c>
      <c r="Q38" s="48" t="inlineStr">
        <is>
          <t>TAK</t>
        </is>
      </c>
      <c r="R38" s="48" t="inlineStr"/>
      <c r="S38" s="48" t="inlineStr">
        <is>
          <t>„Na wprost”
„Pod dużym kątem”
Ogólnie - Światło dzienne (D65) / światło słoneczne</t>
        </is>
      </c>
    </row>
    <row r="39" ht="48" customHeight="1">
      <c r="A39" s="48" t="inlineStr">
        <is>
          <t>DUXONE|DX5185</t>
        </is>
      </c>
      <c r="B39" s="48" t="inlineStr">
        <is>
          <t>DUXONE</t>
        </is>
      </c>
      <c r="C39" s="48" t="inlineStr">
        <is>
          <t>DX5185</t>
        </is>
      </c>
      <c r="D39" s="48" t="inlineStr">
        <is>
          <t>DX5185</t>
        </is>
      </c>
      <c r="E39" s="48" t="inlineStr"/>
      <c r="F39" s="48" t="inlineStr"/>
      <c r="G39" s="48" t="inlineStr">
        <is>
          <t>RED BLUE</t>
        </is>
      </c>
      <c r="H39" s="48" t="inlineStr"/>
      <c r="I39" s="48" t="inlineStr">
        <is>
          <t>RED BLUE</t>
        </is>
      </c>
      <c r="J39" s="48" t="inlineStr">
        <is>
          <t>Przezroczysty pigment
Czerwonawy niebieski w świetle dziennym (D65) i najczerwieńszy ze wszystkich
niebieskich w świetle żarówkowym</t>
        </is>
      </c>
      <c r="K39" s="48" t="inlineStr">
        <is>
          <t>g</t>
        </is>
      </c>
      <c r="L39" s="48" t="inlineStr">
        <is>
          <t>Solid</t>
        </is>
      </c>
      <c r="M39" s="48" t="inlineStr">
        <is>
          <t>OK</t>
        </is>
      </c>
      <c r="N39" s="48" t="inlineStr"/>
      <c r="O39" s="48" t="inlineStr">
        <is>
          <t>PDF_DUXONE</t>
        </is>
      </c>
      <c r="P39" s="48" t="inlineStr">
        <is>
          <t>NIE</t>
        </is>
      </c>
      <c r="Q39" s="48" t="inlineStr">
        <is>
          <t>TAK</t>
        </is>
      </c>
      <c r="R39" s="48" t="inlineStr"/>
      <c r="S39" s="48" t="inlineStr">
        <is>
          <t>Przezroczysty pigment
Czerwonawy niebieski w świetle dziennym (D65) i najczerwieńszy ze wszystkich
niebieskich w świetle żarówkowym</t>
        </is>
      </c>
    </row>
    <row r="40" ht="48" customHeight="1">
      <c r="A40" s="48" t="inlineStr">
        <is>
          <t>DUXONE|DX5187</t>
        </is>
      </c>
      <c r="B40" s="48" t="inlineStr">
        <is>
          <t>DUXONE</t>
        </is>
      </c>
      <c r="C40" s="48" t="inlineStr">
        <is>
          <t>DX5187</t>
        </is>
      </c>
      <c r="D40" s="48" t="inlineStr">
        <is>
          <t>DX5187</t>
        </is>
      </c>
      <c r="E40" s="48" t="inlineStr"/>
      <c r="F40" s="48" t="inlineStr"/>
      <c r="G40" s="48" t="inlineStr">
        <is>
          <t>VIOLET</t>
        </is>
      </c>
      <c r="H40" s="48" t="inlineStr"/>
      <c r="I40" s="48" t="inlineStr">
        <is>
          <t>VIOLET</t>
        </is>
      </c>
      <c r="J40" s="48" t="inlineStr">
        <is>
          <t>Mniej nasycony niż DX5188
Bardziej czerwony patrząc „pod dużym kątem” (flop) niż DX5188
Bardziej zielony w świetle żarówkowym w porównaniu do DX5188</t>
        </is>
      </c>
      <c r="K40" s="48" t="inlineStr">
        <is>
          <t>g</t>
        </is>
      </c>
      <c r="L40" s="48" t="inlineStr">
        <is>
          <t>Solid</t>
        </is>
      </c>
      <c r="M40" s="48" t="inlineStr">
        <is>
          <t>OK</t>
        </is>
      </c>
      <c r="N40" s="48" t="inlineStr"/>
      <c r="O40" s="48" t="inlineStr">
        <is>
          <t>PDF_DUXONE</t>
        </is>
      </c>
      <c r="P40" s="48" t="inlineStr">
        <is>
          <t>NIE</t>
        </is>
      </c>
      <c r="Q40" s="48" t="inlineStr">
        <is>
          <t>TAK</t>
        </is>
      </c>
      <c r="R40" s="48" t="inlineStr"/>
      <c r="S40" s="48" t="inlineStr">
        <is>
          <t>Mniej nasycony niż DX5188
Bardziej czerwony patrząc „pod dużym kątem” (flop) niż DX5188
Bardziej zielony w świetle żarówkowym w porównaniu do DX5188</t>
        </is>
      </c>
    </row>
    <row r="41" ht="48" customHeight="1">
      <c r="A41" s="48" t="inlineStr">
        <is>
          <t>DUXONE|DX5188</t>
        </is>
      </c>
      <c r="B41" s="48" t="inlineStr">
        <is>
          <t>DUXONE</t>
        </is>
      </c>
      <c r="C41" s="48" t="inlineStr">
        <is>
          <t>DX5188</t>
        </is>
      </c>
      <c r="D41" s="48" t="inlineStr">
        <is>
          <t>DX5188</t>
        </is>
      </c>
      <c r="E41" s="48" t="inlineStr"/>
      <c r="F41" s="48" t="inlineStr"/>
      <c r="G41" s="48" t="inlineStr">
        <is>
          <t>RED VIOLET</t>
        </is>
      </c>
      <c r="H41" s="48" t="inlineStr"/>
      <c r="I41" s="48" t="inlineStr">
        <is>
          <t>RED VIOLET</t>
        </is>
      </c>
      <c r="J41" s="48" t="inlineStr">
        <is>
          <t>Bardzo nasycony czerwonawy fiolet
Bardziej zielony patrząc „pod dużym kątem” (flop) niż DX5187 i brudniejszy
Czerwony w świetle żarówkowym w porównaniu do DX5187</t>
        </is>
      </c>
      <c r="K41" s="48" t="inlineStr">
        <is>
          <t>g</t>
        </is>
      </c>
      <c r="L41" s="48" t="inlineStr">
        <is>
          <t>Solid</t>
        </is>
      </c>
      <c r="M41" s="48" t="inlineStr">
        <is>
          <t>OK</t>
        </is>
      </c>
      <c r="N41" s="48" t="inlineStr"/>
      <c r="O41" s="48" t="inlineStr">
        <is>
          <t>PDF_DUXONE</t>
        </is>
      </c>
      <c r="P41" s="48" t="inlineStr">
        <is>
          <t>NIE</t>
        </is>
      </c>
      <c r="Q41" s="48" t="inlineStr">
        <is>
          <t>TAK</t>
        </is>
      </c>
      <c r="R41" s="48" t="inlineStr"/>
      <c r="S41" s="48" t="inlineStr">
        <is>
          <t>Bardzo nasycony czerwonawy fiolet
Bardziej zielony patrząc „pod dużym kątem” (flop) niż DX5187 i brudniejszy
Czerwony w świetle żarówkowym w porównaniu do DX5187</t>
        </is>
      </c>
    </row>
    <row r="42" ht="48" customHeight="1">
      <c r="A42" s="48" t="inlineStr">
        <is>
          <t>DUXONE|DX5189</t>
        </is>
      </c>
      <c r="B42" s="48" t="inlineStr">
        <is>
          <t>DUXONE</t>
        </is>
      </c>
      <c r="C42" s="48" t="inlineStr">
        <is>
          <t>DX5189</t>
        </is>
      </c>
      <c r="D42" s="48" t="inlineStr">
        <is>
          <t>DX5189</t>
        </is>
      </c>
      <c r="E42" s="48" t="inlineStr"/>
      <c r="F42" s="48" t="inlineStr"/>
      <c r="G42" s="48" t="inlineStr">
        <is>
          <t>DARK MAGENTA</t>
        </is>
      </c>
      <c r="H42" s="48" t="inlineStr"/>
      <c r="I42" s="48" t="inlineStr">
        <is>
          <t>DARK MAGENTA</t>
        </is>
      </c>
      <c r="J42" s="48" t="inlineStr">
        <is>
          <t>Najbardziej nienasycony czerwony o niebieskim odcieniu
Najbardziej czerwonawy w świetle żarówkowym</t>
        </is>
      </c>
      <c r="K42" s="48" t="inlineStr">
        <is>
          <t>g</t>
        </is>
      </c>
      <c r="L42" s="48" t="inlineStr">
        <is>
          <t>Solid</t>
        </is>
      </c>
      <c r="M42" s="48" t="inlineStr">
        <is>
          <t>OK</t>
        </is>
      </c>
      <c r="N42" s="48" t="inlineStr"/>
      <c r="O42" s="48" t="inlineStr">
        <is>
          <t>PDF_DUXONE</t>
        </is>
      </c>
      <c r="P42" s="48" t="inlineStr">
        <is>
          <t>NIE</t>
        </is>
      </c>
      <c r="Q42" s="48" t="inlineStr">
        <is>
          <t>TAK</t>
        </is>
      </c>
      <c r="R42" s="48" t="inlineStr"/>
      <c r="S42" s="48" t="inlineStr">
        <is>
          <t>Najbardziej nienasycony czerwony o niebieskim odcieniu
Najbardziej czerwonawy w świetle żarówkowym</t>
        </is>
      </c>
    </row>
    <row r="43" ht="48" customHeight="1">
      <c r="A43" s="48" t="inlineStr">
        <is>
          <t>DUXONE|DX5211</t>
        </is>
      </c>
      <c r="B43" s="48" t="inlineStr">
        <is>
          <t>DUXONE</t>
        </is>
      </c>
      <c r="C43" s="48" t="inlineStr">
        <is>
          <t>DX5211</t>
        </is>
      </c>
      <c r="D43" s="48" t="inlineStr">
        <is>
          <t>DX5211</t>
        </is>
      </c>
      <c r="E43" s="48" t="inlineStr"/>
      <c r="F43" s="48" t="inlineStr"/>
      <c r="G43" s="48" t="inlineStr">
        <is>
          <t>Komponenty aluminiowe pod względem grubości ziarna</t>
        </is>
      </c>
      <c r="H43" s="48" t="inlineStr"/>
      <c r="I43" s="48" t="inlineStr">
        <is>
          <t>Komponenty aluminiowe pod względem grubości ziarna</t>
        </is>
      </c>
      <c r="J43" s="48" t="inlineStr">
        <is>
          <t>Komponenty aluminiowe pod względem iskrzenia się
SOLID
ALUMINIOWE
PERŁOWE &amp;
XIRALLIC</t>
        </is>
      </c>
      <c r="K43" s="48" t="inlineStr">
        <is>
          <t>g</t>
        </is>
      </c>
      <c r="L43" s="48" t="inlineStr">
        <is>
          <t>Aluminium</t>
        </is>
      </c>
      <c r="M43" s="48" t="inlineStr">
        <is>
          <t>OK</t>
        </is>
      </c>
      <c r="N43" s="48" t="inlineStr"/>
      <c r="O43" s="48" t="inlineStr">
        <is>
          <t>PDF_DUXONE</t>
        </is>
      </c>
      <c r="P43" s="48" t="inlineStr">
        <is>
          <t>NIE</t>
        </is>
      </c>
      <c r="Q43" s="48" t="inlineStr">
        <is>
          <t>TAK</t>
        </is>
      </c>
      <c r="R43" s="48" t="inlineStr"/>
      <c r="S43" s="48" t="inlineStr">
        <is>
          <t>Komponenty aluminiowe pod względem iskrzenia się
SOLID
ALUMINIOWE
PERŁOWE &amp;
XIRALLIC</t>
        </is>
      </c>
    </row>
    <row r="44" ht="48" customHeight="1">
      <c r="A44" s="48" t="inlineStr">
        <is>
          <t>DUXONE|DX5212</t>
        </is>
      </c>
      <c r="B44" s="48" t="inlineStr">
        <is>
          <t>DUXONE</t>
        </is>
      </c>
      <c r="C44" s="48" t="inlineStr">
        <is>
          <t>DX5212</t>
        </is>
      </c>
      <c r="D44" s="48" t="inlineStr">
        <is>
          <t>DX5212</t>
        </is>
      </c>
      <c r="E44" s="48" t="inlineStr"/>
      <c r="F44" s="48" t="inlineStr"/>
      <c r="G44" s="48" t="inlineStr">
        <is>
          <t>COARSE SILVER</t>
        </is>
      </c>
      <c r="H44" s="48" t="inlineStr"/>
      <c r="I44" s="48" t="inlineStr">
        <is>
          <t>COARSE SILVER</t>
        </is>
      </c>
      <c r="J44" s="48" t="inlineStr">
        <is>
          <t>Skrzący się „pod dużym kątem”
Jednakowa jasność patrząc „pod kątem”, „na wprost” oraz „pod dużym kątem”</t>
        </is>
      </c>
      <c r="K44" s="48" t="inlineStr">
        <is>
          <t>g</t>
        </is>
      </c>
      <c r="L44" s="48" t="inlineStr">
        <is>
          <t>Aluminium</t>
        </is>
      </c>
      <c r="M44" s="48" t="inlineStr">
        <is>
          <t>OK</t>
        </is>
      </c>
      <c r="N44" s="48" t="inlineStr"/>
      <c r="O44" s="48" t="inlineStr">
        <is>
          <t>PDF_DUXONE</t>
        </is>
      </c>
      <c r="P44" s="48" t="inlineStr">
        <is>
          <t>NIE</t>
        </is>
      </c>
      <c r="Q44" s="48" t="inlineStr">
        <is>
          <t>TAK</t>
        </is>
      </c>
      <c r="R44" s="48" t="inlineStr"/>
      <c r="S44" s="48" t="inlineStr">
        <is>
          <t>Skrzący się „pod dużym kątem”
Jednakowa jasność patrząc „pod kątem”, „na wprost” oraz „pod dużym kątem”</t>
        </is>
      </c>
    </row>
    <row r="45" ht="48" customHeight="1">
      <c r="A45" s="48" t="inlineStr">
        <is>
          <t>DUXONE|DX5213</t>
        </is>
      </c>
      <c r="B45" s="48" t="inlineStr">
        <is>
          <t>DUXONE</t>
        </is>
      </c>
      <c r="C45" s="48" t="inlineStr">
        <is>
          <t>DX5213</t>
        </is>
      </c>
      <c r="D45" s="48" t="inlineStr">
        <is>
          <t>DX5213</t>
        </is>
      </c>
      <c r="E45" s="48" t="inlineStr"/>
      <c r="F45" s="48" t="inlineStr"/>
      <c r="G45" s="48" t="inlineStr">
        <is>
          <t>MEDIUM COARSE SILVER</t>
        </is>
      </c>
      <c r="H45" s="48" t="inlineStr"/>
      <c r="I45" s="48" t="inlineStr">
        <is>
          <t>MEDIUM COARSE SILVER</t>
        </is>
      </c>
      <c r="J45" s="48" t="inlineStr">
        <is>
          <t>Jasnoskrzący się (iskrzący się)
Jednakowa jasność patrząc „pod kątem”, „na wprost” oraz „pod dużym kątem”</t>
        </is>
      </c>
      <c r="K45" s="48" t="inlineStr">
        <is>
          <t>g</t>
        </is>
      </c>
      <c r="L45" s="48" t="inlineStr">
        <is>
          <t>Aluminium</t>
        </is>
      </c>
      <c r="M45" s="48" t="inlineStr">
        <is>
          <t>OK</t>
        </is>
      </c>
      <c r="N45" s="48" t="inlineStr"/>
      <c r="O45" s="48" t="inlineStr">
        <is>
          <t>PDF_DUXONE</t>
        </is>
      </c>
      <c r="P45" s="48" t="inlineStr">
        <is>
          <t>NIE</t>
        </is>
      </c>
      <c r="Q45" s="48" t="inlineStr">
        <is>
          <t>TAK</t>
        </is>
      </c>
      <c r="R45" s="48" t="inlineStr"/>
      <c r="S45" s="48" t="inlineStr">
        <is>
          <t>Jasnoskrzący się (iskrzący się)
Jednakowa jasność patrząc „pod kątem”, „na wprost” oraz „pod dużym kątem”</t>
        </is>
      </c>
    </row>
    <row r="46" ht="48" customHeight="1">
      <c r="A46" s="48" t="inlineStr">
        <is>
          <t>DUXONE|DX5214</t>
        </is>
      </c>
      <c r="B46" s="48" t="inlineStr">
        <is>
          <t>DUXONE</t>
        </is>
      </c>
      <c r="C46" s="48" t="inlineStr">
        <is>
          <t>DX5214</t>
        </is>
      </c>
      <c r="D46" s="48" t="inlineStr">
        <is>
          <t>DX5214</t>
        </is>
      </c>
      <c r="E46" s="48" t="inlineStr"/>
      <c r="F46" s="48" t="inlineStr"/>
      <c r="G46" s="48" t="inlineStr">
        <is>
          <t>MEDIUM SILVER</t>
        </is>
      </c>
      <c r="H46" s="48" t="inlineStr"/>
      <c r="I46" s="48" t="inlineStr">
        <is>
          <t>MEDIUM SILVER</t>
        </is>
      </c>
      <c r="J46" s="48" t="inlineStr">
        <is>
          <t>Grubość ziarna identyczna jak w DX5215
Ciemniejszy patrząc „pod kątem” niż DX5215
Taki sam efekt patrząc „pod dużym kątem” jak DX5215
DX5214 = DX5215 + 10%</t>
        </is>
      </c>
      <c r="K46" s="48" t="inlineStr">
        <is>
          <t>g</t>
        </is>
      </c>
      <c r="L46" s="48" t="inlineStr">
        <is>
          <t>Aluminium</t>
        </is>
      </c>
      <c r="M46" s="48" t="inlineStr">
        <is>
          <t>OK</t>
        </is>
      </c>
      <c r="N46" s="48" t="inlineStr"/>
      <c r="O46" s="48" t="inlineStr">
        <is>
          <t>PDF_DUXONE</t>
        </is>
      </c>
      <c r="P46" s="48" t="inlineStr">
        <is>
          <t>NIE</t>
        </is>
      </c>
      <c r="Q46" s="48" t="inlineStr">
        <is>
          <t>TAK</t>
        </is>
      </c>
      <c r="R46" s="48" t="inlineStr"/>
      <c r="S46" s="48" t="inlineStr">
        <is>
          <t>Grubość ziarna identyczna jak w DX5215
Ciemniejszy patrząc „pod kątem” niż DX5215
Taki sam efekt patrząc „pod dużym kątem” jak DX5215
DX5214 = DX5215 + 10%</t>
        </is>
      </c>
    </row>
    <row r="47" ht="48" customHeight="1">
      <c r="A47" s="48" t="inlineStr">
        <is>
          <t>DUXONE|DX5215</t>
        </is>
      </c>
      <c r="B47" s="48" t="inlineStr">
        <is>
          <t>DUXONE</t>
        </is>
      </c>
      <c r="C47" s="48" t="inlineStr">
        <is>
          <t>DX5215</t>
        </is>
      </c>
      <c r="D47" s="48" t="inlineStr">
        <is>
          <t>DX5215</t>
        </is>
      </c>
      <c r="E47" s="48" t="inlineStr"/>
      <c r="F47" s="48" t="inlineStr"/>
      <c r="G47" s="48" t="inlineStr">
        <is>
          <t>FINE SILVER</t>
        </is>
      </c>
      <c r="H47" s="48" t="inlineStr"/>
      <c r="I47" s="48" t="inlineStr">
        <is>
          <t>FINE SILVER</t>
        </is>
      </c>
      <c r="J47" s="48" t="inlineStr">
        <is>
          <t>Przejrzysty (czysty) patrząc „na wprost”
Jasny pod 3 kątami widzenia</t>
        </is>
      </c>
      <c r="K47" s="48" t="inlineStr">
        <is>
          <t>g</t>
        </is>
      </c>
      <c r="L47" s="48" t="inlineStr">
        <is>
          <t>Aluminium</t>
        </is>
      </c>
      <c r="M47" s="48" t="inlineStr">
        <is>
          <t>OK</t>
        </is>
      </c>
      <c r="N47" s="48" t="inlineStr"/>
      <c r="O47" s="48" t="inlineStr">
        <is>
          <t>PDF_DUXONE</t>
        </is>
      </c>
      <c r="P47" s="48" t="inlineStr">
        <is>
          <t>NIE</t>
        </is>
      </c>
      <c r="Q47" s="48" t="inlineStr">
        <is>
          <t>TAK</t>
        </is>
      </c>
      <c r="R47" s="48" t="inlineStr"/>
      <c r="S47" s="48" t="inlineStr">
        <is>
          <t>Przejrzysty (czysty) patrząc „na wprost”
Jasny pod 3 kątami widzenia</t>
        </is>
      </c>
    </row>
    <row r="48" ht="48" customHeight="1">
      <c r="A48" s="51" t="inlineStr">
        <is>
          <t>DUXONE|DX5216</t>
        </is>
      </c>
      <c r="B48" s="51" t="inlineStr">
        <is>
          <t>DUXONE</t>
        </is>
      </c>
      <c r="C48" s="51" t="inlineStr">
        <is>
          <t>DX5216</t>
        </is>
      </c>
      <c r="D48" s="51" t="inlineStr">
        <is>
          <t>DX5216</t>
        </is>
      </c>
      <c r="E48" s="51" t="inlineStr"/>
      <c r="F48" s="51" t="inlineStr"/>
      <c r="G48" s="51" t="inlineStr"/>
      <c r="H48" s="51" t="inlineStr"/>
      <c r="I48" s="51" t="inlineStr"/>
      <c r="J48" s="51" t="inlineStr"/>
      <c r="K48" s="51" t="inlineStr">
        <is>
          <t>g</t>
        </is>
      </c>
      <c r="L48" s="51" t="inlineStr">
        <is>
          <t>Aluminium</t>
        </is>
      </c>
      <c r="M48" s="51" t="inlineStr">
        <is>
          <t>DO WERYFIKACJI</t>
        </is>
      </c>
      <c r="N48" s="51" t="inlineStr">
        <is>
          <t>Brak nazwy w PDF dobarwiania i w ODS</t>
        </is>
      </c>
      <c r="O48" s="51" t="inlineStr">
        <is>
          <t>BRAK</t>
        </is>
      </c>
      <c r="P48" s="51" t="inlineStr">
        <is>
          <t>NIE</t>
        </is>
      </c>
      <c r="Q48" s="51" t="inlineStr">
        <is>
          <t>TAK</t>
        </is>
      </c>
      <c r="R48" s="51" t="inlineStr"/>
      <c r="S48" s="51" t="inlineStr"/>
    </row>
    <row r="49" ht="48" customHeight="1">
      <c r="A49" s="48" t="inlineStr">
        <is>
          <t>DUXONE|DX5217</t>
        </is>
      </c>
      <c r="B49" s="48" t="inlineStr">
        <is>
          <t>DUXONE</t>
        </is>
      </c>
      <c r="C49" s="48" t="inlineStr">
        <is>
          <t>DX5217</t>
        </is>
      </c>
      <c r="D49" s="48" t="inlineStr">
        <is>
          <t>DX5217</t>
        </is>
      </c>
      <c r="E49" s="48" t="inlineStr"/>
      <c r="F49" s="48" t="inlineStr"/>
      <c r="G49" s="48" t="inlineStr">
        <is>
          <t>EXTRA FINE SILVER</t>
        </is>
      </c>
      <c r="H49" s="48" t="inlineStr"/>
      <c r="I49" s="48" t="inlineStr">
        <is>
          <t>EXTRA FINE SILVER</t>
        </is>
      </c>
      <c r="J49" s="48" t="inlineStr">
        <is>
          <t>Jasny patrząc „na wprost” i brudny (rozmyty) „pod dużym kątem”
Ciemny patrząc „pod kątem”</t>
        </is>
      </c>
      <c r="K49" s="48" t="inlineStr">
        <is>
          <t>g</t>
        </is>
      </c>
      <c r="L49" s="48" t="inlineStr">
        <is>
          <t>Aluminium</t>
        </is>
      </c>
      <c r="M49" s="48" t="inlineStr">
        <is>
          <t>OK</t>
        </is>
      </c>
      <c r="N49" s="48" t="inlineStr"/>
      <c r="O49" s="48" t="inlineStr">
        <is>
          <t>PDF_DUXONE</t>
        </is>
      </c>
      <c r="P49" s="48" t="inlineStr">
        <is>
          <t>NIE</t>
        </is>
      </c>
      <c r="Q49" s="48" t="inlineStr">
        <is>
          <t>TAK</t>
        </is>
      </c>
      <c r="R49" s="48" t="inlineStr"/>
      <c r="S49" s="48" t="inlineStr">
        <is>
          <t>Jasny patrząc „na wprost” i brudny (rozmyty) „pod dużym kątem”
Ciemny patrząc „pod kątem”</t>
        </is>
      </c>
    </row>
    <row r="50" ht="48" customHeight="1">
      <c r="A50" s="48" t="inlineStr">
        <is>
          <t>DUXONE|DX5221</t>
        </is>
      </c>
      <c r="B50" s="48" t="inlineStr">
        <is>
          <t>DUXONE</t>
        </is>
      </c>
      <c r="C50" s="48" t="inlineStr">
        <is>
          <t>DX5221</t>
        </is>
      </c>
      <c r="D50" s="48" t="inlineStr">
        <is>
          <t>DX5221</t>
        </is>
      </c>
      <c r="E50" s="48" t="inlineStr"/>
      <c r="F50" s="48" t="inlineStr"/>
      <c r="G50" s="48" t="inlineStr">
        <is>
          <t>COARSE BRIGHT SILVER</t>
        </is>
      </c>
      <c r="H50" s="48" t="inlineStr"/>
      <c r="I50" s="48" t="inlineStr">
        <is>
          <t>COARSE BRIGHT SILVER</t>
        </is>
      </c>
      <c r="J50" s="48" t="inlineStr">
        <is>
          <t>Taki sam jak DX5223, ale jaśniejszy
Komponent aluminium „silver dollar”</t>
        </is>
      </c>
      <c r="K50" s="48" t="inlineStr">
        <is>
          <t>g</t>
        </is>
      </c>
      <c r="L50" s="48" t="inlineStr">
        <is>
          <t>Aluminium</t>
        </is>
      </c>
      <c r="M50" s="48" t="inlineStr">
        <is>
          <t>OK</t>
        </is>
      </c>
      <c r="N50" s="48" t="inlineStr"/>
      <c r="O50" s="48" t="inlineStr">
        <is>
          <t>PDF_DUXONE</t>
        </is>
      </c>
      <c r="P50" s="48" t="inlineStr">
        <is>
          <t>NIE</t>
        </is>
      </c>
      <c r="Q50" s="48" t="inlineStr">
        <is>
          <t>TAK</t>
        </is>
      </c>
      <c r="R50" s="48" t="inlineStr"/>
      <c r="S50" s="48" t="inlineStr">
        <is>
          <t>Taki sam jak DX5223, ale jaśniejszy
Komponent aluminium „silver dollar”</t>
        </is>
      </c>
    </row>
    <row r="51" ht="48" customHeight="1">
      <c r="A51" s="48" t="inlineStr">
        <is>
          <t>DUXONE|DX5223</t>
        </is>
      </c>
      <c r="B51" s="48" t="inlineStr">
        <is>
          <t>DUXONE</t>
        </is>
      </c>
      <c r="C51" s="48" t="inlineStr">
        <is>
          <t>DX5223</t>
        </is>
      </c>
      <c r="D51" s="48" t="inlineStr">
        <is>
          <t>DX5223</t>
        </is>
      </c>
      <c r="E51" s="48" t="inlineStr"/>
      <c r="F51" s="48" t="inlineStr"/>
      <c r="G51" s="48" t="inlineStr">
        <is>
          <t>MEDIUM BRIGHT SILVER</t>
        </is>
      </c>
      <c r="H51" s="48" t="inlineStr"/>
      <c r="I51" s="48" t="inlineStr">
        <is>
          <t>MEDIUM BRIGHT SILVER</t>
        </is>
      </c>
      <c r="J51" s="48" t="inlineStr">
        <is>
          <t>Bardzo jasny patrząc „pod kątem” i ciemniejszy „pod dużym kątem”</t>
        </is>
      </c>
      <c r="K51" s="48" t="inlineStr">
        <is>
          <t>g</t>
        </is>
      </c>
      <c r="L51" s="48" t="inlineStr">
        <is>
          <t>Aluminium</t>
        </is>
      </c>
      <c r="M51" s="48" t="inlineStr">
        <is>
          <t>OK</t>
        </is>
      </c>
      <c r="N51" s="48" t="inlineStr"/>
      <c r="O51" s="48" t="inlineStr">
        <is>
          <t>PDF_DUXONE</t>
        </is>
      </c>
      <c r="P51" s="48" t="inlineStr">
        <is>
          <t>NIE</t>
        </is>
      </c>
      <c r="Q51" s="48" t="inlineStr">
        <is>
          <t>TAK</t>
        </is>
      </c>
      <c r="R51" s="48" t="inlineStr"/>
      <c r="S51" s="48" t="inlineStr">
        <is>
          <t>Bardzo jasny patrząc „pod kątem” i ciemniejszy „pod dużym kątem”</t>
        </is>
      </c>
    </row>
    <row r="52" ht="48" customHeight="1">
      <c r="A52" s="48" t="inlineStr">
        <is>
          <t>DUXONE|DX5224</t>
        </is>
      </c>
      <c r="B52" s="48" t="inlineStr">
        <is>
          <t>DUXONE</t>
        </is>
      </c>
      <c r="C52" s="48" t="inlineStr">
        <is>
          <t>DX5224</t>
        </is>
      </c>
      <c r="D52" s="48" t="inlineStr">
        <is>
          <t>DX5224</t>
        </is>
      </c>
      <c r="E52" s="48" t="inlineStr"/>
      <c r="F52" s="48" t="inlineStr"/>
      <c r="G52" s="48" t="inlineStr">
        <is>
          <t>GOLD ALU</t>
        </is>
      </c>
      <c r="H52" s="48" t="inlineStr"/>
      <c r="I52" s="48" t="inlineStr">
        <is>
          <t>GOLD ALU</t>
        </is>
      </c>
      <c r="J52" s="48" t="inlineStr">
        <is>
          <t>Aluminium pokryte tlenkiem żelaza (żółty)
Wielkość ziarna podobna do DX5215
Jaśniejszy patrząc „pod kątem” i czerwony „pod dużym kątem” (flop)</t>
        </is>
      </c>
      <c r="K52" s="48" t="inlineStr">
        <is>
          <t>g</t>
        </is>
      </c>
      <c r="L52" s="48" t="inlineStr">
        <is>
          <t>Aluminium</t>
        </is>
      </c>
      <c r="M52" s="48" t="inlineStr">
        <is>
          <t>OK</t>
        </is>
      </c>
      <c r="N52" s="48" t="inlineStr"/>
      <c r="O52" s="48" t="inlineStr">
        <is>
          <t>PDF_DUXONE</t>
        </is>
      </c>
      <c r="P52" s="48" t="inlineStr">
        <is>
          <t>NIE</t>
        </is>
      </c>
      <c r="Q52" s="48" t="inlineStr">
        <is>
          <t>TAK</t>
        </is>
      </c>
      <c r="R52" s="48" t="inlineStr"/>
      <c r="S52" s="48" t="inlineStr">
        <is>
          <t>Aluminium pokryte tlenkiem żelaza (żółty)
Wielkość ziarna podobna do DX5215
Jaśniejszy patrząc „pod kątem” i czerwony „pod dużym kątem” (flop)</t>
        </is>
      </c>
    </row>
    <row r="53" ht="48" customHeight="1">
      <c r="A53" s="48" t="inlineStr">
        <is>
          <t>DUXONE|DX5225</t>
        </is>
      </c>
      <c r="B53" s="48" t="inlineStr">
        <is>
          <t>DUXONE</t>
        </is>
      </c>
      <c r="C53" s="48" t="inlineStr">
        <is>
          <t>DX5225</t>
        </is>
      </c>
      <c r="D53" s="48" t="inlineStr">
        <is>
          <t>DX5225</t>
        </is>
      </c>
      <c r="E53" s="48" t="inlineStr"/>
      <c r="F53" s="48" t="inlineStr"/>
      <c r="G53" s="48" t="inlineStr">
        <is>
          <t>ORANGE ALU</t>
        </is>
      </c>
      <c r="H53" s="48" t="inlineStr"/>
      <c r="I53" s="48" t="inlineStr">
        <is>
          <t>ORANGE ALU</t>
        </is>
      </c>
      <c r="J53" s="48" t="inlineStr">
        <is>
          <t>Aluminium pokryte tlenkiem żelaza (pomarańczowy)
Wielkość ziarna identyczna jak w DX5215
Jaśniejszy patrząc „pod kątem” i czerwony „pod dużym kątem” (flop)</t>
        </is>
      </c>
      <c r="K53" s="48" t="inlineStr">
        <is>
          <t>g</t>
        </is>
      </c>
      <c r="L53" s="48" t="inlineStr">
        <is>
          <t>Aluminium</t>
        </is>
      </c>
      <c r="M53" s="48" t="inlineStr">
        <is>
          <t>OK</t>
        </is>
      </c>
      <c r="N53" s="48" t="inlineStr"/>
      <c r="O53" s="48" t="inlineStr">
        <is>
          <t>PDF_DUXONE</t>
        </is>
      </c>
      <c r="P53" s="48" t="inlineStr">
        <is>
          <t>NIE</t>
        </is>
      </c>
      <c r="Q53" s="48" t="inlineStr">
        <is>
          <t>TAK</t>
        </is>
      </c>
      <c r="R53" s="48" t="inlineStr"/>
      <c r="S53" s="48" t="inlineStr">
        <is>
          <t>Aluminium pokryte tlenkiem żelaza (pomarańczowy)
Wielkość ziarna identyczna jak w DX5215
Jaśniejszy patrząc „pod kątem” i czerwony „pod dużym kątem” (flop)</t>
        </is>
      </c>
    </row>
    <row r="54" ht="48" customHeight="1">
      <c r="A54" s="48" t="inlineStr">
        <is>
          <t>DUXONE|DX5226</t>
        </is>
      </c>
      <c r="B54" s="48" t="inlineStr">
        <is>
          <t>DUXONE</t>
        </is>
      </c>
      <c r="C54" s="48" t="inlineStr">
        <is>
          <t>DX5226</t>
        </is>
      </c>
      <c r="D54" s="48" t="inlineStr">
        <is>
          <t>DX5226</t>
        </is>
      </c>
      <c r="E54" s="48" t="inlineStr"/>
      <c r="F54" s="48" t="inlineStr"/>
      <c r="G54" s="48" t="inlineStr">
        <is>
          <t>FINE EXTRA BRIGHT ALU</t>
        </is>
      </c>
      <c r="H54" s="48" t="inlineStr"/>
      <c r="I54" s="48" t="inlineStr">
        <is>
          <t>FINE EXTRA BRIGHT ALU</t>
        </is>
      </c>
      <c r="J54" s="48" t="inlineStr">
        <is>
          <t>Komponent aluminium „silver dollar”; nowszy typ od DX5223 i DX5221
Drobne ziarno w świetle dziennym, ale bardziej skrzący się w świetle
słonecznym
Bardzo jasny patrząc „pod kątem” i ciemniejszy „pod dużym kątem” (flop)</t>
        </is>
      </c>
      <c r="K54" s="48" t="inlineStr">
        <is>
          <t>g</t>
        </is>
      </c>
      <c r="L54" s="48" t="inlineStr">
        <is>
          <t>Aluminium</t>
        </is>
      </c>
      <c r="M54" s="48" t="inlineStr">
        <is>
          <t>OK</t>
        </is>
      </c>
      <c r="N54" s="48" t="inlineStr"/>
      <c r="O54" s="48" t="inlineStr">
        <is>
          <t>PDF_DUXONE</t>
        </is>
      </c>
      <c r="P54" s="48" t="inlineStr">
        <is>
          <t>NIE</t>
        </is>
      </c>
      <c r="Q54" s="48" t="inlineStr">
        <is>
          <t>TAK</t>
        </is>
      </c>
      <c r="R54" s="48" t="inlineStr"/>
      <c r="S54" s="48" t="inlineStr">
        <is>
          <t>Komponent aluminium „silver dollar”; nowszy typ od DX5223 i DX5221
Drobne ziarno w świetle dziennym, ale bardziej skrzący się w świetle
słonecznym
Bardzo jasny patrząc „pod kątem” i ciemniejszy „pod dużym kątem” (flop)</t>
        </is>
      </c>
    </row>
    <row r="55" ht="48" customHeight="1">
      <c r="A55" s="48" t="inlineStr">
        <is>
          <t>DUXONE|DX5227</t>
        </is>
      </c>
      <c r="B55" s="48" t="inlineStr">
        <is>
          <t>DUXONE</t>
        </is>
      </c>
      <c r="C55" s="48" t="inlineStr">
        <is>
          <t>DX5227</t>
        </is>
      </c>
      <c r="D55" s="48" t="inlineStr">
        <is>
          <t>DX5227</t>
        </is>
      </c>
      <c r="E55" s="48" t="inlineStr"/>
      <c r="F55" s="48" t="inlineStr"/>
      <c r="G55" s="48" t="inlineStr">
        <is>
          <t>MEDIUM FINE BRIGHT ALU</t>
        </is>
      </c>
      <c r="H55" s="48" t="inlineStr"/>
      <c r="I55" s="48" t="inlineStr">
        <is>
          <t>MEDIUM FINE BRIGHT ALU</t>
        </is>
      </c>
      <c r="J55" s="48" t="inlineStr">
        <is>
          <t>Takie same właściwości jak DX5226, ale jaśniejszy w świetle słonecznym
DROBNE
ZIARNO
GRUBE
ZIARNO</t>
        </is>
      </c>
      <c r="K55" s="48" t="inlineStr">
        <is>
          <t>g</t>
        </is>
      </c>
      <c r="L55" s="48" t="inlineStr">
        <is>
          <t>Aluminium</t>
        </is>
      </c>
      <c r="M55" s="48" t="inlineStr">
        <is>
          <t>OK</t>
        </is>
      </c>
      <c r="N55" s="48" t="inlineStr"/>
      <c r="O55" s="48" t="inlineStr">
        <is>
          <t>PDF_DUXONE</t>
        </is>
      </c>
      <c r="P55" s="48" t="inlineStr">
        <is>
          <t>NIE</t>
        </is>
      </c>
      <c r="Q55" s="48" t="inlineStr">
        <is>
          <t>TAK</t>
        </is>
      </c>
      <c r="R55" s="48" t="inlineStr"/>
      <c r="S55" s="48" t="inlineStr">
        <is>
          <t>Takie same właściwości jak DX5226, ale jaśniejszy w świetle słonecznym
DROBNE
ZIARNO
GRUBE
ZIARNO</t>
        </is>
      </c>
    </row>
    <row r="56" ht="48" customHeight="1">
      <c r="A56" s="48" t="inlineStr">
        <is>
          <t>DUXONE|DX5231</t>
        </is>
      </c>
      <c r="B56" s="48" t="inlineStr">
        <is>
          <t>DUXONE</t>
        </is>
      </c>
      <c r="C56" s="48" t="inlineStr">
        <is>
          <t>DX5231</t>
        </is>
      </c>
      <c r="D56" s="48" t="inlineStr">
        <is>
          <t>DX5231</t>
        </is>
      </c>
      <c r="E56" s="48" t="inlineStr"/>
      <c r="F56" s="48" t="inlineStr"/>
      <c r="G56" s="48" t="inlineStr">
        <is>
          <t>SILVER PEARL</t>
        </is>
      </c>
      <c r="H56" s="48" t="inlineStr"/>
      <c r="I56" s="48" t="inlineStr">
        <is>
          <t>SILVER PEARL</t>
        </is>
      </c>
      <c r="J56" s="48" t="inlineStr">
        <is>
          <t>Półprzezroczysty
Średnia wielkość ziarna</t>
        </is>
      </c>
      <c r="K56" s="48" t="inlineStr">
        <is>
          <t>g</t>
        </is>
      </c>
      <c r="L56" s="48" t="inlineStr">
        <is>
          <t>Perła</t>
        </is>
      </c>
      <c r="M56" s="48" t="inlineStr">
        <is>
          <t>OK</t>
        </is>
      </c>
      <c r="N56" s="48" t="inlineStr"/>
      <c r="O56" s="48" t="inlineStr">
        <is>
          <t>PDF_DUXONE</t>
        </is>
      </c>
      <c r="P56" s="48" t="inlineStr">
        <is>
          <t>NIE</t>
        </is>
      </c>
      <c r="Q56" s="48" t="inlineStr">
        <is>
          <t>TAK</t>
        </is>
      </c>
      <c r="R56" s="48" t="inlineStr"/>
      <c r="S56" s="48" t="inlineStr">
        <is>
          <t>Półprzezroczysty
Średnia wielkość ziarna</t>
        </is>
      </c>
    </row>
    <row r="57" ht="48" customHeight="1">
      <c r="A57" s="48" t="inlineStr">
        <is>
          <t>DUXONE|DX5232</t>
        </is>
      </c>
      <c r="B57" s="48" t="inlineStr">
        <is>
          <t>DUXONE</t>
        </is>
      </c>
      <c r="C57" s="48" t="inlineStr">
        <is>
          <t>DX5232</t>
        </is>
      </c>
      <c r="D57" s="48" t="inlineStr">
        <is>
          <t>DX5232</t>
        </is>
      </c>
      <c r="E57" s="48" t="inlineStr"/>
      <c r="F57" s="48" t="inlineStr"/>
      <c r="G57" s="48" t="inlineStr">
        <is>
          <t>FINE SILVER PEARL</t>
        </is>
      </c>
      <c r="H57" s="48" t="inlineStr"/>
      <c r="I57" s="48" t="inlineStr">
        <is>
          <t>FINE SILVER PEARL</t>
        </is>
      </c>
      <c r="J57" s="48" t="inlineStr">
        <is>
          <t>Półprzezroczysty
Drobna wielkość ziarna
Ciemny patrząc „na wprost” i jaśniejszy patrząc „pod dużym kątem” (flop)
jak DX5231</t>
        </is>
      </c>
      <c r="K57" s="48" t="inlineStr">
        <is>
          <t>g</t>
        </is>
      </c>
      <c r="L57" s="48" t="inlineStr">
        <is>
          <t>Perła</t>
        </is>
      </c>
      <c r="M57" s="48" t="inlineStr">
        <is>
          <t>OK</t>
        </is>
      </c>
      <c r="N57" s="48" t="inlineStr"/>
      <c r="O57" s="48" t="inlineStr">
        <is>
          <t>PDF_DUXONE</t>
        </is>
      </c>
      <c r="P57" s="48" t="inlineStr">
        <is>
          <t>NIE</t>
        </is>
      </c>
      <c r="Q57" s="48" t="inlineStr">
        <is>
          <t>TAK</t>
        </is>
      </c>
      <c r="R57" s="48" t="inlineStr"/>
      <c r="S57" s="48" t="inlineStr">
        <is>
          <t>Półprzezroczysty
Drobna wielkość ziarna
Ciemny patrząc „na wprost” i jaśniejszy patrząc „pod dużym kątem” (flop)
jak DX5231</t>
        </is>
      </c>
    </row>
    <row r="58" ht="48" customHeight="1">
      <c r="A58" s="48" t="inlineStr">
        <is>
          <t>DUXONE|DX5241</t>
        </is>
      </c>
      <c r="B58" s="48" t="inlineStr">
        <is>
          <t>DUXONE</t>
        </is>
      </c>
      <c r="C58" s="48" t="inlineStr">
        <is>
          <t>DX5241</t>
        </is>
      </c>
      <c r="D58" s="48" t="inlineStr">
        <is>
          <t>DX5241</t>
        </is>
      </c>
      <c r="E58" s="48" t="inlineStr"/>
      <c r="F58" s="48" t="inlineStr"/>
      <c r="G58" s="48" t="inlineStr">
        <is>
          <t>RED PEARL</t>
        </is>
      </c>
      <c r="H58" s="48" t="inlineStr"/>
      <c r="I58" s="48" t="inlineStr">
        <is>
          <t>RED PEARL</t>
        </is>
      </c>
      <c r="J58" s="48" t="inlineStr">
        <is>
          <t>Średniej wielkości ziarno
Efekt koloru czerwonego pod każdym kątem</t>
        </is>
      </c>
      <c r="K58" s="48" t="inlineStr">
        <is>
          <t>g</t>
        </is>
      </c>
      <c r="L58" s="48" t="inlineStr">
        <is>
          <t>Perła</t>
        </is>
      </c>
      <c r="M58" s="48" t="inlineStr">
        <is>
          <t>OK</t>
        </is>
      </c>
      <c r="N58" s="48" t="inlineStr"/>
      <c r="O58" s="48" t="inlineStr">
        <is>
          <t>PDF_DUXONE</t>
        </is>
      </c>
      <c r="P58" s="48" t="inlineStr">
        <is>
          <t>NIE</t>
        </is>
      </c>
      <c r="Q58" s="48" t="inlineStr">
        <is>
          <t>TAK</t>
        </is>
      </c>
      <c r="R58" s="48" t="inlineStr"/>
      <c r="S58" s="48" t="inlineStr">
        <is>
          <t>Średniej wielkości ziarno
Efekt koloru czerwonego pod każdym kątem</t>
        </is>
      </c>
    </row>
    <row r="59" ht="48" customHeight="1">
      <c r="A59" s="48" t="inlineStr">
        <is>
          <t>DUXONE|DX5242</t>
        </is>
      </c>
      <c r="B59" s="48" t="inlineStr">
        <is>
          <t>DUXONE</t>
        </is>
      </c>
      <c r="C59" s="48" t="inlineStr">
        <is>
          <t>DX5242</t>
        </is>
      </c>
      <c r="D59" s="48" t="inlineStr">
        <is>
          <t>DX5242</t>
        </is>
      </c>
      <c r="E59" s="48" t="inlineStr"/>
      <c r="F59" s="48" t="inlineStr"/>
      <c r="G59" s="48" t="inlineStr">
        <is>
          <t>FINE RED PEARL</t>
        </is>
      </c>
      <c r="H59" s="48" t="inlineStr"/>
      <c r="I59" s="48" t="inlineStr">
        <is>
          <t>FINE RED PEARL</t>
        </is>
      </c>
      <c r="J59" s="48" t="inlineStr">
        <is>
          <t>Średnia-drobna wielkość ziarna
Efekt kolorystyczny taki sam jak w DX5241, ale ze względu na drobniejsza
wielkość ziarna w DX5242 nasycenie jest mniej jasne, a wygląd ciemniejszy
patrząc „na wprost” i jaśniejszy „pod dużym kątem” (flop)</t>
        </is>
      </c>
      <c r="K59" s="48" t="inlineStr">
        <is>
          <t>g</t>
        </is>
      </c>
      <c r="L59" s="48" t="inlineStr">
        <is>
          <t>Perła</t>
        </is>
      </c>
      <c r="M59" s="48" t="inlineStr">
        <is>
          <t>OK</t>
        </is>
      </c>
      <c r="N59" s="48" t="inlineStr"/>
      <c r="O59" s="48" t="inlineStr">
        <is>
          <t>PDF_DUXONE</t>
        </is>
      </c>
      <c r="P59" s="48" t="inlineStr">
        <is>
          <t>NIE</t>
        </is>
      </c>
      <c r="Q59" s="48" t="inlineStr">
        <is>
          <t>TAK</t>
        </is>
      </c>
      <c r="R59" s="48" t="inlineStr"/>
      <c r="S59" s="48" t="inlineStr">
        <is>
          <t>Średnia-drobna wielkość ziarna
Efekt kolorystyczny taki sam jak w DX5241, ale ze względu na drobniejsza
wielkość ziarna w DX5242 nasycenie jest mniej jasne, a wygląd ciemniejszy
patrząc „na wprost” i jaśniejszy „pod dużym kątem” (flop)</t>
        </is>
      </c>
    </row>
    <row r="60" ht="48" customHeight="1">
      <c r="A60" s="48" t="inlineStr">
        <is>
          <t>DUXONE|DX5243</t>
        </is>
      </c>
      <c r="B60" s="48" t="inlineStr">
        <is>
          <t>DUXONE</t>
        </is>
      </c>
      <c r="C60" s="48" t="inlineStr">
        <is>
          <t>DX5243</t>
        </is>
      </c>
      <c r="D60" s="48" t="inlineStr">
        <is>
          <t>DX5243</t>
        </is>
      </c>
      <c r="E60" s="48" t="inlineStr"/>
      <c r="F60" s="48" t="inlineStr"/>
      <c r="G60" s="48" t="inlineStr">
        <is>
          <t>SUPER RED PEARL</t>
        </is>
      </c>
      <c r="H60" s="48" t="inlineStr"/>
      <c r="I60" s="48" t="inlineStr">
        <is>
          <t>SUPER RED PEARL</t>
        </is>
      </c>
      <c r="J60" s="48" t="inlineStr">
        <is>
          <t>Półprzezroczysty
Średniej wielkości ziarno
Czerwony patrząc „na wpros” a bardzo zielony „pod dużym kątem” (flop)</t>
        </is>
      </c>
      <c r="K60" s="48" t="inlineStr">
        <is>
          <t>g</t>
        </is>
      </c>
      <c r="L60" s="48" t="inlineStr">
        <is>
          <t>Perła</t>
        </is>
      </c>
      <c r="M60" s="48" t="inlineStr">
        <is>
          <t>OK</t>
        </is>
      </c>
      <c r="N60" s="48" t="inlineStr"/>
      <c r="O60" s="48" t="inlineStr">
        <is>
          <t>PDF_DUXONE</t>
        </is>
      </c>
      <c r="P60" s="48" t="inlineStr">
        <is>
          <t>NIE</t>
        </is>
      </c>
      <c r="Q60" s="48" t="inlineStr">
        <is>
          <t>TAK</t>
        </is>
      </c>
      <c r="R60" s="48" t="inlineStr"/>
      <c r="S60" s="48" t="inlineStr">
        <is>
          <t>Półprzezroczysty
Średniej wielkości ziarno
Czerwony patrząc „na wpros” a bardzo zielony „pod dużym kątem” (flop)</t>
        </is>
      </c>
    </row>
    <row r="61" ht="48" customHeight="1">
      <c r="A61" s="48" t="inlineStr">
        <is>
          <t>DUXONE|DX5244</t>
        </is>
      </c>
      <c r="B61" s="48" t="inlineStr">
        <is>
          <t>DUXONE</t>
        </is>
      </c>
      <c r="C61" s="48" t="inlineStr">
        <is>
          <t>DX5244</t>
        </is>
      </c>
      <c r="D61" s="48" t="inlineStr">
        <is>
          <t>DX5244</t>
        </is>
      </c>
      <c r="E61" s="48" t="inlineStr"/>
      <c r="F61" s="48" t="inlineStr"/>
      <c r="G61" s="48" t="inlineStr">
        <is>
          <t>RED BROWN PEARL</t>
        </is>
      </c>
      <c r="H61" s="48" t="inlineStr"/>
      <c r="I61" s="48" t="inlineStr">
        <is>
          <t>RED BROWN PEARL</t>
        </is>
      </c>
      <c r="J61" s="48" t="inlineStr">
        <is>
          <t>Kryjący
Średniej wielkości ziarno
Będzie dawał efekt miedzianego odcienia pod każdym kątem</t>
        </is>
      </c>
      <c r="K61" s="48" t="inlineStr">
        <is>
          <t>g</t>
        </is>
      </c>
      <c r="L61" s="48" t="inlineStr">
        <is>
          <t>Perła</t>
        </is>
      </c>
      <c r="M61" s="48" t="inlineStr">
        <is>
          <t>OK</t>
        </is>
      </c>
      <c r="N61" s="48" t="inlineStr"/>
      <c r="O61" s="48" t="inlineStr">
        <is>
          <t>PDF_DUXONE</t>
        </is>
      </c>
      <c r="P61" s="48" t="inlineStr">
        <is>
          <t>NIE</t>
        </is>
      </c>
      <c r="Q61" s="48" t="inlineStr">
        <is>
          <t>TAK</t>
        </is>
      </c>
      <c r="R61" s="48" t="inlineStr"/>
      <c r="S61" s="48" t="inlineStr">
        <is>
          <t>Kryjący
Średniej wielkości ziarno
Będzie dawał efekt miedzianego odcienia pod każdym kątem</t>
        </is>
      </c>
    </row>
    <row r="62" ht="48" customHeight="1">
      <c r="A62" s="48" t="inlineStr">
        <is>
          <t>DUXONE|DX5251</t>
        </is>
      </c>
      <c r="B62" s="48" t="inlineStr">
        <is>
          <t>DUXONE</t>
        </is>
      </c>
      <c r="C62" s="48" t="inlineStr">
        <is>
          <t>DX5251</t>
        </is>
      </c>
      <c r="D62" s="48" t="inlineStr">
        <is>
          <t>DX5251</t>
        </is>
      </c>
      <c r="E62" s="48" t="inlineStr"/>
      <c r="F62" s="48" t="inlineStr"/>
      <c r="G62" s="48" t="inlineStr">
        <is>
          <t>BLUE PEARL</t>
        </is>
      </c>
      <c r="H62" s="48" t="inlineStr"/>
      <c r="I62" s="48" t="inlineStr">
        <is>
          <t>BLUE PEARL</t>
        </is>
      </c>
      <c r="J62" s="48" t="inlineStr">
        <is>
          <t>Średniej wielkości ziarno
Półprzezroczysty
Czysty, niebieski patrząc „na wprost” z żółtawym, jasnym flopem</t>
        </is>
      </c>
      <c r="K62" s="48" t="inlineStr">
        <is>
          <t>g</t>
        </is>
      </c>
      <c r="L62" s="48" t="inlineStr">
        <is>
          <t>Perła</t>
        </is>
      </c>
      <c r="M62" s="48" t="inlineStr">
        <is>
          <t>OK</t>
        </is>
      </c>
      <c r="N62" s="48" t="inlineStr"/>
      <c r="O62" s="48" t="inlineStr">
        <is>
          <t>PDF_DUXONE</t>
        </is>
      </c>
      <c r="P62" s="48" t="inlineStr">
        <is>
          <t>NIE</t>
        </is>
      </c>
      <c r="Q62" s="48" t="inlineStr">
        <is>
          <t>TAK</t>
        </is>
      </c>
      <c r="R62" s="48" t="inlineStr"/>
      <c r="S62" s="48" t="inlineStr">
        <is>
          <t>Średniej wielkości ziarno
Półprzezroczysty
Czysty, niebieski patrząc „na wprost” z żółtawym, jasnym flopem</t>
        </is>
      </c>
    </row>
    <row r="63" ht="48" customHeight="1">
      <c r="A63" s="48" t="inlineStr">
        <is>
          <t>DUXONE|DX5261</t>
        </is>
      </c>
      <c r="B63" s="48" t="inlineStr">
        <is>
          <t>DUXONE</t>
        </is>
      </c>
      <c r="C63" s="48" t="inlineStr">
        <is>
          <t>DX5261</t>
        </is>
      </c>
      <c r="D63" s="48" t="inlineStr">
        <is>
          <t>DX5261</t>
        </is>
      </c>
      <c r="E63" s="48" t="inlineStr"/>
      <c r="F63" s="48" t="inlineStr"/>
      <c r="G63" s="48" t="inlineStr">
        <is>
          <t>GREEN PEARL</t>
        </is>
      </c>
      <c r="H63" s="48" t="inlineStr"/>
      <c r="I63" s="48" t="inlineStr">
        <is>
          <t>GREEN PEARL</t>
        </is>
      </c>
      <c r="J63" s="48" t="inlineStr">
        <is>
          <t>Półprzezroczysty
Średniej wielkości ziarno
Czysty, zielony patrząc „na wprost” z czerwonawym, jasnym flopem</t>
        </is>
      </c>
      <c r="K63" s="48" t="inlineStr">
        <is>
          <t>g</t>
        </is>
      </c>
      <c r="L63" s="48" t="inlineStr">
        <is>
          <t>Perła</t>
        </is>
      </c>
      <c r="M63" s="48" t="inlineStr">
        <is>
          <t>OK</t>
        </is>
      </c>
      <c r="N63" s="48" t="inlineStr"/>
      <c r="O63" s="48" t="inlineStr">
        <is>
          <t>PDF_DUXONE</t>
        </is>
      </c>
      <c r="P63" s="48" t="inlineStr">
        <is>
          <t>NIE</t>
        </is>
      </c>
      <c r="Q63" s="48" t="inlineStr">
        <is>
          <t>TAK</t>
        </is>
      </c>
      <c r="R63" s="48" t="inlineStr"/>
      <c r="S63" s="48" t="inlineStr">
        <is>
          <t>Półprzezroczysty
Średniej wielkości ziarno
Czysty, zielony patrząc „na wprost” z czerwonawym, jasnym flopem</t>
        </is>
      </c>
    </row>
    <row r="64" ht="48" customHeight="1">
      <c r="A64" s="48" t="inlineStr">
        <is>
          <t>DUXONE|DX5271</t>
        </is>
      </c>
      <c r="B64" s="48" t="inlineStr">
        <is>
          <t>DUXONE</t>
        </is>
      </c>
      <c r="C64" s="48" t="inlineStr">
        <is>
          <t>DX5271</t>
        </is>
      </c>
      <c r="D64" s="48" t="inlineStr">
        <is>
          <t>DX5271</t>
        </is>
      </c>
      <c r="E64" s="48" t="inlineStr"/>
      <c r="F64" s="48" t="inlineStr"/>
      <c r="G64" s="48" t="inlineStr">
        <is>
          <t>GOLD PEARL</t>
        </is>
      </c>
      <c r="H64" s="48" t="inlineStr"/>
      <c r="I64" s="48" t="inlineStr">
        <is>
          <t>GOLD PEARL</t>
        </is>
      </c>
      <c r="J64" s="48" t="inlineStr">
        <is>
          <t>Półprzezroczysty
Średniej wielkości ziarno
Żółtawy złoty kolor patrząc „na wprost” z jasnym, niebieskim flopem</t>
        </is>
      </c>
      <c r="K64" s="48" t="inlineStr">
        <is>
          <t>g</t>
        </is>
      </c>
      <c r="L64" s="48" t="inlineStr">
        <is>
          <t>Perła</t>
        </is>
      </c>
      <c r="M64" s="48" t="inlineStr">
        <is>
          <t>OK</t>
        </is>
      </c>
      <c r="N64" s="48" t="inlineStr"/>
      <c r="O64" s="48" t="inlineStr">
        <is>
          <t>PDF_DUXONE</t>
        </is>
      </c>
      <c r="P64" s="48" t="inlineStr">
        <is>
          <t>NIE</t>
        </is>
      </c>
      <c r="Q64" s="48" t="inlineStr">
        <is>
          <t>TAK</t>
        </is>
      </c>
      <c r="R64" s="48" t="inlineStr"/>
      <c r="S64" s="48" t="inlineStr">
        <is>
          <t>Półprzezroczysty
Średniej wielkości ziarno
Żółtawy złoty kolor patrząc „na wprost” z jasnym, niebieskim flopem</t>
        </is>
      </c>
    </row>
    <row r="65" ht="48" customHeight="1">
      <c r="A65" s="48" t="inlineStr">
        <is>
          <t>DUXONE|DX5281</t>
        </is>
      </c>
      <c r="B65" s="48" t="inlineStr">
        <is>
          <t>DUXONE</t>
        </is>
      </c>
      <c r="C65" s="48" t="inlineStr">
        <is>
          <t>DX5281</t>
        </is>
      </c>
      <c r="D65" s="48" t="inlineStr">
        <is>
          <t>DX5281</t>
        </is>
      </c>
      <c r="E65" s="48" t="inlineStr"/>
      <c r="F65" s="48" t="inlineStr"/>
      <c r="G65" s="48" t="inlineStr">
        <is>
          <t>LILAC PEARL</t>
        </is>
      </c>
      <c r="H65" s="48" t="inlineStr"/>
      <c r="I65" s="48" t="inlineStr">
        <is>
          <t>LILAC PEARL</t>
        </is>
      </c>
      <c r="J65" s="48" t="inlineStr">
        <is>
          <t>Półprzezroczysty
Średniej wielkości ziarno
Czysty, fioletowy patrząc „na wprost” z żółtym, pomarańczowym flopem</t>
        </is>
      </c>
      <c r="K65" s="48" t="inlineStr">
        <is>
          <t>g</t>
        </is>
      </c>
      <c r="L65" s="48" t="inlineStr">
        <is>
          <t>Perła</t>
        </is>
      </c>
      <c r="M65" s="48" t="inlineStr">
        <is>
          <t>OK</t>
        </is>
      </c>
      <c r="N65" s="48" t="inlineStr"/>
      <c r="O65" s="48" t="inlineStr">
        <is>
          <t>PDF_DUXONE</t>
        </is>
      </c>
      <c r="P65" s="48" t="inlineStr">
        <is>
          <t>NIE</t>
        </is>
      </c>
      <c r="Q65" s="48" t="inlineStr">
        <is>
          <t>TAK</t>
        </is>
      </c>
      <c r="R65" s="48" t="inlineStr"/>
      <c r="S65" s="48" t="inlineStr">
        <is>
          <t>Półprzezroczysty
Średniej wielkości ziarno
Czysty, fioletowy patrząc „na wprost” z żółtym, pomarańczowym flopem</t>
        </is>
      </c>
    </row>
    <row r="66" ht="48" customHeight="1">
      <c r="A66" s="48" t="inlineStr">
        <is>
          <t>DUXONE|DX5299</t>
        </is>
      </c>
      <c r="B66" s="48" t="inlineStr">
        <is>
          <t>DUXONE</t>
        </is>
      </c>
      <c r="C66" s="48" t="inlineStr">
        <is>
          <t>DX5299</t>
        </is>
      </c>
      <c r="D66" s="48" t="inlineStr">
        <is>
          <t>DX5299</t>
        </is>
      </c>
      <c r="E66" s="48" t="inlineStr"/>
      <c r="F66" s="48" t="inlineStr"/>
      <c r="G66" s="48" t="inlineStr">
        <is>
          <t>UNISILVER</t>
        </is>
      </c>
      <c r="H66" s="48" t="inlineStr"/>
      <c r="I66" s="48" t="inlineStr">
        <is>
          <t>UNISILVER</t>
        </is>
      </c>
      <c r="J66" s="48" t="inlineStr">
        <is>
          <t>Tylko do użytku w kolorach z efektem
Tworzy bardziej jednolitą powłokę
Dodatki modyfikujące</t>
        </is>
      </c>
      <c r="K66" s="48" t="inlineStr">
        <is>
          <t>g</t>
        </is>
      </c>
      <c r="L66" s="48" t="inlineStr">
        <is>
          <t>Aluminium</t>
        </is>
      </c>
      <c r="M66" s="48" t="inlineStr">
        <is>
          <t>OK</t>
        </is>
      </c>
      <c r="N66" s="48" t="inlineStr"/>
      <c r="O66" s="48" t="inlineStr">
        <is>
          <t>PDF_DUXONE</t>
        </is>
      </c>
      <c r="P66" s="48" t="inlineStr">
        <is>
          <t>NIE</t>
        </is>
      </c>
      <c r="Q66" s="48" t="inlineStr">
        <is>
          <t>TAK</t>
        </is>
      </c>
      <c r="R66" s="48" t="inlineStr"/>
      <c r="S66" s="48" t="inlineStr">
        <is>
          <t>Tylko do użytku w kolorach z efektem
Tworzy bardziej jednolitą powłokę
Dodatki modyfikujące</t>
        </is>
      </c>
    </row>
    <row r="67" ht="48" customHeight="1">
      <c r="A67" s="48" t="inlineStr">
        <is>
          <t>DUXONE|DX5300</t>
        </is>
      </c>
      <c r="B67" s="48" t="inlineStr">
        <is>
          <t>DUXONE</t>
        </is>
      </c>
      <c r="C67" s="48" t="inlineStr">
        <is>
          <t>DX5300</t>
        </is>
      </c>
      <c r="D67" s="48" t="inlineStr">
        <is>
          <t>DX5300</t>
        </is>
      </c>
      <c r="E67" s="48" t="inlineStr"/>
      <c r="F67" s="48" t="inlineStr"/>
      <c r="G67" s="48" t="inlineStr">
        <is>
          <t>WHITE CRYSTAL</t>
        </is>
      </c>
      <c r="H67" s="48" t="inlineStr"/>
      <c r="I67" s="48" t="inlineStr">
        <is>
          <t>WHITE CRYSTAL</t>
        </is>
      </c>
      <c r="J67" s="48" t="inlineStr">
        <is>
          <t>Dużo jaśniejszy w symulowanym świetle słonecznym niż DX5231</t>
        </is>
      </c>
      <c r="K67" s="48" t="inlineStr">
        <is>
          <t>g</t>
        </is>
      </c>
      <c r="L67" s="48" t="inlineStr">
        <is>
          <t>Xirallic/Crystal</t>
        </is>
      </c>
      <c r="M67" s="48" t="inlineStr">
        <is>
          <t>OK</t>
        </is>
      </c>
      <c r="N67" s="48" t="inlineStr"/>
      <c r="O67" s="48" t="inlineStr">
        <is>
          <t>PDF_DUXONE</t>
        </is>
      </c>
      <c r="P67" s="48" t="inlineStr">
        <is>
          <t>NIE</t>
        </is>
      </c>
      <c r="Q67" s="48" t="inlineStr">
        <is>
          <t>TAK</t>
        </is>
      </c>
      <c r="R67" s="48" t="inlineStr"/>
      <c r="S67" s="48" t="inlineStr">
        <is>
          <t>Dużo jaśniejszy w symulowanym świetle słonecznym niż DX5231</t>
        </is>
      </c>
    </row>
    <row r="68" ht="48" customHeight="1">
      <c r="A68" s="48" t="inlineStr">
        <is>
          <t>DUXONE|DX5301</t>
        </is>
      </c>
      <c r="B68" s="48" t="inlineStr">
        <is>
          <t>DUXONE</t>
        </is>
      </c>
      <c r="C68" s="48" t="inlineStr">
        <is>
          <t>DX5301</t>
        </is>
      </c>
      <c r="D68" s="48" t="inlineStr">
        <is>
          <t>DX5301</t>
        </is>
      </c>
      <c r="E68" s="48" t="inlineStr"/>
      <c r="F68" s="48" t="inlineStr"/>
      <c r="G68" s="48" t="inlineStr">
        <is>
          <t>RED CRYSTAL</t>
        </is>
      </c>
      <c r="H68" s="48" t="inlineStr"/>
      <c r="I68" s="48" t="inlineStr">
        <is>
          <t>RED CRYSTAL</t>
        </is>
      </c>
      <c r="J68" s="48" t="inlineStr">
        <is>
          <t>Jaśniejszy w symulowanym świetle słonecznym niż DX5241</t>
        </is>
      </c>
      <c r="K68" s="48" t="inlineStr">
        <is>
          <t>g</t>
        </is>
      </c>
      <c r="L68" s="48" t="inlineStr">
        <is>
          <t>Xirallic/Crystal</t>
        </is>
      </c>
      <c r="M68" s="48" t="inlineStr">
        <is>
          <t>OK</t>
        </is>
      </c>
      <c r="N68" s="48" t="inlineStr"/>
      <c r="O68" s="48" t="inlineStr">
        <is>
          <t>PDF_DUXONE</t>
        </is>
      </c>
      <c r="P68" s="48" t="inlineStr">
        <is>
          <t>NIE</t>
        </is>
      </c>
      <c r="Q68" s="48" t="inlineStr">
        <is>
          <t>TAK</t>
        </is>
      </c>
      <c r="R68" s="48" t="inlineStr"/>
      <c r="S68" s="48" t="inlineStr">
        <is>
          <t>Jaśniejszy w symulowanym świetle słonecznym niż DX5241</t>
        </is>
      </c>
    </row>
    <row r="69" ht="48" customHeight="1">
      <c r="A69" s="48" t="inlineStr">
        <is>
          <t>DUXONE|DX5302</t>
        </is>
      </c>
      <c r="B69" s="48" t="inlineStr">
        <is>
          <t>DUXONE</t>
        </is>
      </c>
      <c r="C69" s="48" t="inlineStr">
        <is>
          <t>DX5302</t>
        </is>
      </c>
      <c r="D69" s="48" t="inlineStr">
        <is>
          <t>DX5302</t>
        </is>
      </c>
      <c r="E69" s="48" t="inlineStr"/>
      <c r="F69" s="48" t="inlineStr"/>
      <c r="G69" s="48" t="inlineStr">
        <is>
          <t>BLUE CRYSTAL</t>
        </is>
      </c>
      <c r="H69" s="48" t="inlineStr"/>
      <c r="I69" s="48" t="inlineStr">
        <is>
          <t>BLUE CRYSTAL</t>
        </is>
      </c>
      <c r="J69" s="48" t="inlineStr">
        <is>
          <t>Dużo jaśniejszy w symulowanym świetle słonecznym niż DX5251</t>
        </is>
      </c>
      <c r="K69" s="48" t="inlineStr">
        <is>
          <t>g</t>
        </is>
      </c>
      <c r="L69" s="48" t="inlineStr">
        <is>
          <t>Xirallic/Crystal</t>
        </is>
      </c>
      <c r="M69" s="48" t="inlineStr">
        <is>
          <t>OK</t>
        </is>
      </c>
      <c r="N69" s="48" t="inlineStr"/>
      <c r="O69" s="48" t="inlineStr">
        <is>
          <t>PDF_DUXONE</t>
        </is>
      </c>
      <c r="P69" s="48" t="inlineStr">
        <is>
          <t>NIE</t>
        </is>
      </c>
      <c r="Q69" s="48" t="inlineStr">
        <is>
          <t>TAK</t>
        </is>
      </c>
      <c r="R69" s="48" t="inlineStr"/>
      <c r="S69" s="48" t="inlineStr">
        <is>
          <t>Dużo jaśniejszy w symulowanym świetle słonecznym niż DX5251</t>
        </is>
      </c>
    </row>
    <row r="70" ht="48" customHeight="1">
      <c r="A70" s="48" t="inlineStr">
        <is>
          <t>DUXONE|DX5303</t>
        </is>
      </c>
      <c r="B70" s="48" t="inlineStr">
        <is>
          <t>DUXONE</t>
        </is>
      </c>
      <c r="C70" s="48" t="inlineStr">
        <is>
          <t>DX5303</t>
        </is>
      </c>
      <c r="D70" s="48" t="inlineStr">
        <is>
          <t>DX5303</t>
        </is>
      </c>
      <c r="E70" s="48" t="inlineStr"/>
      <c r="F70" s="48" t="inlineStr"/>
      <c r="G70" s="48" t="inlineStr">
        <is>
          <t>GREEN CRYSTAL</t>
        </is>
      </c>
      <c r="H70" s="48" t="inlineStr"/>
      <c r="I70" s="48" t="inlineStr">
        <is>
          <t>GREEN CRYSTAL</t>
        </is>
      </c>
      <c r="J70" s="48" t="inlineStr">
        <is>
          <t>Dużo jaśniejszy w symulowanym świetle słonecznym niż DX5261</t>
        </is>
      </c>
      <c r="K70" s="48" t="inlineStr">
        <is>
          <t>g</t>
        </is>
      </c>
      <c r="L70" s="48" t="inlineStr">
        <is>
          <t>Xirallic/Crystal</t>
        </is>
      </c>
      <c r="M70" s="48" t="inlineStr">
        <is>
          <t>OK</t>
        </is>
      </c>
      <c r="N70" s="48" t="inlineStr"/>
      <c r="O70" s="48" t="inlineStr">
        <is>
          <t>PDF_DUXONE</t>
        </is>
      </c>
      <c r="P70" s="48" t="inlineStr">
        <is>
          <t>NIE</t>
        </is>
      </c>
      <c r="Q70" s="48" t="inlineStr">
        <is>
          <t>TAK</t>
        </is>
      </c>
      <c r="R70" s="48" t="inlineStr"/>
      <c r="S70" s="48" t="inlineStr">
        <is>
          <t>Dużo jaśniejszy w symulowanym świetle słonecznym niż DX5261</t>
        </is>
      </c>
    </row>
    <row r="71" ht="48" customHeight="1">
      <c r="A71" s="48" t="inlineStr">
        <is>
          <t>DUXONE|DX5304</t>
        </is>
      </c>
      <c r="B71" s="48" t="inlineStr">
        <is>
          <t>DUXONE</t>
        </is>
      </c>
      <c r="C71" s="48" t="inlineStr">
        <is>
          <t>DX5304</t>
        </is>
      </c>
      <c r="D71" s="48" t="inlineStr">
        <is>
          <t>DX5304</t>
        </is>
      </c>
      <c r="E71" s="48" t="inlineStr"/>
      <c r="F71" s="48" t="inlineStr"/>
      <c r="G71" s="48" t="inlineStr">
        <is>
          <t>GOLD CRYSTAL</t>
        </is>
      </c>
      <c r="H71" s="48" t="inlineStr"/>
      <c r="I71" s="48" t="inlineStr">
        <is>
          <t>GOLD CRYSTAL</t>
        </is>
      </c>
      <c r="J71" s="48" t="inlineStr">
        <is>
          <t>Jaśniejszy w symulowanym świetle słonecznym niż DX5271</t>
        </is>
      </c>
      <c r="K71" s="48" t="inlineStr">
        <is>
          <t>g</t>
        </is>
      </c>
      <c r="L71" s="48" t="inlineStr">
        <is>
          <t>Xirallic/Crystal</t>
        </is>
      </c>
      <c r="M71" s="48" t="inlineStr">
        <is>
          <t>OK</t>
        </is>
      </c>
      <c r="N71" s="48" t="inlineStr"/>
      <c r="O71" s="48" t="inlineStr">
        <is>
          <t>PDF_DUXONE</t>
        </is>
      </c>
      <c r="P71" s="48" t="inlineStr">
        <is>
          <t>NIE</t>
        </is>
      </c>
      <c r="Q71" s="48" t="inlineStr">
        <is>
          <t>TAK</t>
        </is>
      </c>
      <c r="R71" s="48" t="inlineStr"/>
      <c r="S71" s="48" t="inlineStr">
        <is>
          <t>Jaśniejszy w symulowanym świetle słonecznym niż DX5271</t>
        </is>
      </c>
    </row>
    <row r="72" ht="48" customHeight="1">
      <c r="A72" s="48" t="inlineStr">
        <is>
          <t>DUXONE|DX5305</t>
        </is>
      </c>
      <c r="B72" s="48" t="inlineStr">
        <is>
          <t>DUXONE</t>
        </is>
      </c>
      <c r="C72" s="48" t="inlineStr">
        <is>
          <t>DX5305</t>
        </is>
      </c>
      <c r="D72" s="48" t="inlineStr">
        <is>
          <t>DX5305</t>
        </is>
      </c>
      <c r="E72" s="48" t="inlineStr"/>
      <c r="F72" s="48" t="inlineStr"/>
      <c r="G72" s="48" t="inlineStr">
        <is>
          <t>COPPER CRYSTAL</t>
        </is>
      </c>
      <c r="H72" s="48" t="inlineStr"/>
      <c r="I72" s="48" t="inlineStr">
        <is>
          <t>COPPER CRYSTAL</t>
        </is>
      </c>
      <c r="J72" s="48" t="inlineStr">
        <is>
          <t>Jaśniejszy w symulowanym świetle słonecznym niż DX5244</t>
        </is>
      </c>
      <c r="K72" s="48" t="inlineStr">
        <is>
          <t>g</t>
        </is>
      </c>
      <c r="L72" s="48" t="inlineStr">
        <is>
          <t>Xirallic/Crystal</t>
        </is>
      </c>
      <c r="M72" s="48" t="inlineStr">
        <is>
          <t>OK</t>
        </is>
      </c>
      <c r="N72" s="48" t="inlineStr"/>
      <c r="O72" s="48" t="inlineStr">
        <is>
          <t>PDF_DUXONE</t>
        </is>
      </c>
      <c r="P72" s="48" t="inlineStr">
        <is>
          <t>NIE</t>
        </is>
      </c>
      <c r="Q72" s="48" t="inlineStr">
        <is>
          <t>TAK</t>
        </is>
      </c>
      <c r="R72" s="48" t="inlineStr"/>
      <c r="S72" s="48" t="inlineStr">
        <is>
          <t>Jaśniejszy w symulowanym świetle słonecznym niż DX5244</t>
        </is>
      </c>
    </row>
    <row r="73" ht="48" customHeight="1">
      <c r="A73" s="48" t="inlineStr">
        <is>
          <t>DUXONE|DX0112</t>
        </is>
      </c>
      <c r="B73" s="48" t="inlineStr">
        <is>
          <t>DUXONE</t>
        </is>
      </c>
      <c r="C73" s="48" t="inlineStr">
        <is>
          <t>DX0112</t>
        </is>
      </c>
      <c r="D73" s="48" t="inlineStr">
        <is>
          <t>DX0112</t>
        </is>
      </c>
      <c r="E73" s="48" t="inlineStr"/>
      <c r="F73" s="48" t="inlineStr"/>
      <c r="G73" s="48" t="inlineStr">
        <is>
          <t>BLACK (KOMPONENT O MAŁEJ SILE KRYCIA)</t>
        </is>
      </c>
      <c r="H73" s="48" t="inlineStr"/>
      <c r="I73" s="48" t="inlineStr">
        <is>
          <t>BLACK (KOMPONENT O MAŁEJ SILE KRYCIA)</t>
        </is>
      </c>
      <c r="J73" s="48" t="inlineStr">
        <is>
          <t>Ma żółte zabarwienie
Zamień DX5110 na DX0112 gdy stężenie DX5110 jest mniejsze niż 0.45%
całości wagi receptury; kiedy stężenie komponentu DX0112 jest większe niż 8%,
zastosuj DX5110
Zamień DX5110 na DX0112: stężenie DX5110 x 10
SOLID
ALUMINIUM
PERŁOWE &amp;
XIRALLIC</t>
        </is>
      </c>
      <c r="K73" s="48" t="inlineStr">
        <is>
          <t>g</t>
        </is>
      </c>
      <c r="L73" s="48" t="inlineStr">
        <is>
          <t>Niska siła krycia</t>
        </is>
      </c>
      <c r="M73" s="48" t="inlineStr">
        <is>
          <t>OK</t>
        </is>
      </c>
      <c r="N73" s="48" t="inlineStr"/>
      <c r="O73" s="48" t="inlineStr">
        <is>
          <t>PDF_DUXONE</t>
        </is>
      </c>
      <c r="P73" s="48" t="inlineStr">
        <is>
          <t>NIE</t>
        </is>
      </c>
      <c r="Q73" s="48" t="inlineStr">
        <is>
          <t>TAK</t>
        </is>
      </c>
      <c r="R73" s="48" t="inlineStr"/>
      <c r="S73" s="48" t="inlineStr">
        <is>
          <t>Ma żółte zabarwienie
Zamień DX5110 na DX0112 gdy stężenie DX5110 jest mniejsze niż 0.45%
całości wagi receptury; kiedy stężenie komponentu DX0112 jest większe niż 8%,
zastosuj DX5110
Zamień DX5110 na DX0112: stężenie DX5110 x 10
SOLID
ALUMINIUM
PERŁOWE &amp;
XIRALLIC</t>
        </is>
      </c>
    </row>
    <row r="74" ht="48" customHeight="1">
      <c r="A74" s="48" t="inlineStr">
        <is>
          <t>DUXONE|DX0124</t>
        </is>
      </c>
      <c r="B74" s="48" t="inlineStr">
        <is>
          <t>DUXONE</t>
        </is>
      </c>
      <c r="C74" s="48" t="inlineStr">
        <is>
          <t>DX0124</t>
        </is>
      </c>
      <c r="D74" s="48" t="inlineStr">
        <is>
          <t>DX0124</t>
        </is>
      </c>
      <c r="E74" s="48" t="inlineStr"/>
      <c r="F74" s="48" t="inlineStr"/>
      <c r="G74" s="48" t="inlineStr">
        <is>
          <t>BROWN RED (PIGMENT O MAŁEJ SILE KRYCIA)</t>
        </is>
      </c>
      <c r="H74" s="48" t="inlineStr"/>
      <c r="I74" s="48" t="inlineStr">
        <is>
          <t>BROWN RED (PIGMENT O MAŁEJ SILE KRYCIA)</t>
        </is>
      </c>
      <c r="J74" s="48" t="inlineStr">
        <is>
          <t>Kryjacy komponent o czerwonym / żółtym odcieniu
Może być używany w małych ilościach do kolorów z efektem dla uzyskania
jasnego i czerwonego wyglądu „pod dużym kątem” (flop)</t>
        </is>
      </c>
      <c r="K74" s="48" t="inlineStr">
        <is>
          <t>g</t>
        </is>
      </c>
      <c r="L74" s="48" t="inlineStr">
        <is>
          <t>Niska siła krycia</t>
        </is>
      </c>
      <c r="M74" s="48" t="inlineStr">
        <is>
          <t>OK</t>
        </is>
      </c>
      <c r="N74" s="48" t="inlineStr"/>
      <c r="O74" s="48" t="inlineStr">
        <is>
          <t>PDF_DUXONE</t>
        </is>
      </c>
      <c r="P74" s="48" t="inlineStr">
        <is>
          <t>NIE</t>
        </is>
      </c>
      <c r="Q74" s="48" t="inlineStr">
        <is>
          <t>TAK</t>
        </is>
      </c>
      <c r="R74" s="48" t="inlineStr"/>
      <c r="S74" s="48" t="inlineStr">
        <is>
          <t>Kryjacy komponent o czerwonym / żółtym odcieniu
Może być używany w małych ilościach do kolorów z efektem dla uzyskania
jasnego i czerwonego wyglądu „pod dużym kątem” (flop)</t>
        </is>
      </c>
    </row>
    <row r="75" ht="48" customHeight="1">
      <c r="A75" s="48" t="inlineStr">
        <is>
          <t>DUXONE|DX0132</t>
        </is>
      </c>
      <c r="B75" s="48" t="inlineStr">
        <is>
          <t>DUXONE</t>
        </is>
      </c>
      <c r="C75" s="48" t="inlineStr">
        <is>
          <t>DX0132</t>
        </is>
      </c>
      <c r="D75" s="48" t="inlineStr">
        <is>
          <t>DX0132</t>
        </is>
      </c>
      <c r="E75" s="48" t="inlineStr"/>
      <c r="F75" s="48" t="inlineStr"/>
      <c r="G75" s="48" t="inlineStr">
        <is>
          <t>WHITE (KOMPONENT O MAŁEJ SILE KRYCIA)</t>
        </is>
      </c>
      <c r="H75" s="48" t="inlineStr"/>
      <c r="I75" s="48" t="inlineStr">
        <is>
          <t>WHITE (KOMPONENT O MAŁEJ SILE KRYCIA)</t>
        </is>
      </c>
      <c r="J75" s="48" t="inlineStr">
        <is>
          <t>Sprawia, że kolor solidowy jest jaśniejszy
Może być używany w małych ilościach w kolorach z efektem do rozjaśnienia
koloru „pod dużym kątem” (flop) i ściemnienia „pod kątem”.
Zamień DX5130 na DX0132 gdy stężenie DX5130 jest mniejsze niż 0.45%
całości wagi receptury; kiedy stężenie komponentu DX0132 jest większe niż 8%,
zastosuj DX5130
Zamień DX5130 na DX0132: stężenie DX5130 x 10</t>
        </is>
      </c>
      <c r="K75" s="48" t="inlineStr">
        <is>
          <t>g</t>
        </is>
      </c>
      <c r="L75" s="48" t="inlineStr">
        <is>
          <t>Niska siła krycia</t>
        </is>
      </c>
      <c r="M75" s="48" t="inlineStr">
        <is>
          <t>OK</t>
        </is>
      </c>
      <c r="N75" s="48" t="inlineStr"/>
      <c r="O75" s="48" t="inlineStr">
        <is>
          <t>PDF_DUXONE</t>
        </is>
      </c>
      <c r="P75" s="48" t="inlineStr">
        <is>
          <t>NIE</t>
        </is>
      </c>
      <c r="Q75" s="48" t="inlineStr">
        <is>
          <t>TAK</t>
        </is>
      </c>
      <c r="R75" s="48" t="inlineStr"/>
      <c r="S75" s="48" t="inlineStr">
        <is>
          <t>Sprawia, że kolor solidowy jest jaśniejszy
Może być używany w małych ilościach w kolorach z efektem do rozjaśnienia
koloru „pod dużym kątem” (flop) i ściemnienia „pod kątem”.
Zamień DX5130 na DX0132 gdy stężenie DX5130 jest mniejsze niż 0.45%
całości wagi receptury; kiedy stężenie komponentu DX0132 jest większe niż 8%,
zastosuj DX5130
Zamień DX5130 na DX0132: stężenie DX5130 x 10</t>
        </is>
      </c>
    </row>
    <row r="76" ht="48" customHeight="1">
      <c r="A76" s="51" t="inlineStr">
        <is>
          <t>DUXONE|DX11</t>
        </is>
      </c>
      <c r="B76" s="51" t="inlineStr">
        <is>
          <t>DUXONE</t>
        </is>
      </c>
      <c r="C76" s="51" t="inlineStr">
        <is>
          <t>DX11</t>
        </is>
      </c>
      <c r="D76" s="51" t="inlineStr">
        <is>
          <t>DX11</t>
        </is>
      </c>
      <c r="E76" s="51" t="inlineStr"/>
      <c r="F76" s="51" t="inlineStr"/>
      <c r="G76" s="51" t="inlineStr"/>
      <c r="H76" s="51" t="inlineStr"/>
      <c r="I76" s="51" t="inlineStr"/>
      <c r="J76" s="51" t="inlineStr"/>
      <c r="K76" s="51" t="inlineStr">
        <is>
          <t>g</t>
        </is>
      </c>
      <c r="L76" s="51" t="inlineStr">
        <is>
          <t>Dodatek</t>
        </is>
      </c>
      <c r="M76" s="51" t="inlineStr">
        <is>
          <t>DO WERYFIKACJI</t>
        </is>
      </c>
      <c r="N76" s="51" t="inlineStr">
        <is>
          <t>Brak nazwy w PDF dobarwiania i w ODS</t>
        </is>
      </c>
      <c r="O76" s="51" t="inlineStr">
        <is>
          <t>BRAK</t>
        </is>
      </c>
      <c r="P76" s="51" t="inlineStr">
        <is>
          <t>NIE</t>
        </is>
      </c>
      <c r="Q76" s="51" t="inlineStr">
        <is>
          <t>TAK</t>
        </is>
      </c>
      <c r="R76" s="51" t="inlineStr"/>
      <c r="S76" s="51" t="inlineStr"/>
    </row>
    <row r="77" ht="48" customHeight="1">
      <c r="A77" s="51" t="inlineStr">
        <is>
          <t>DUXONE|AXT100</t>
        </is>
      </c>
      <c r="B77" s="51" t="inlineStr">
        <is>
          <t>DUXONE</t>
        </is>
      </c>
      <c r="C77" s="51" t="inlineStr">
        <is>
          <t>AXT100</t>
        </is>
      </c>
      <c r="D77" s="51" t="inlineStr">
        <is>
          <t>AXT100</t>
        </is>
      </c>
      <c r="E77" s="51" t="inlineStr"/>
      <c r="F77" s="51" t="inlineStr"/>
      <c r="G77" s="51" t="inlineStr"/>
      <c r="H77" s="51" t="inlineStr"/>
      <c r="I77" s="51" t="inlineStr"/>
      <c r="J77" s="51" t="inlineStr"/>
      <c r="K77" s="51" t="inlineStr">
        <is>
          <t>g</t>
        </is>
      </c>
      <c r="L77" s="51" t="inlineStr">
        <is>
          <t>Dodatek do lakieru bezbarwnego</t>
        </is>
      </c>
      <c r="M77" s="51" t="inlineStr">
        <is>
          <t>DO WERYFIKACJI</t>
        </is>
      </c>
      <c r="N77" s="51" t="inlineStr">
        <is>
          <t>Brak nazwy w PDF dobarwiania i w ODS</t>
        </is>
      </c>
      <c r="O77" s="51" t="inlineStr">
        <is>
          <t>BRAK</t>
        </is>
      </c>
      <c r="P77" s="51" t="inlineStr">
        <is>
          <t>NIE</t>
        </is>
      </c>
      <c r="Q77" s="51" t="inlineStr">
        <is>
          <t>TAK</t>
        </is>
      </c>
      <c r="R77" s="51" t="inlineStr"/>
      <c r="S77" s="51" t="inlineStr"/>
    </row>
    <row r="78" ht="48" customHeight="1">
      <c r="A78" s="51" t="inlineStr">
        <is>
          <t>DUXONE|AXT101</t>
        </is>
      </c>
      <c r="B78" s="51" t="inlineStr">
        <is>
          <t>DUXONE</t>
        </is>
      </c>
      <c r="C78" s="51" t="inlineStr">
        <is>
          <t>AXT101</t>
        </is>
      </c>
      <c r="D78" s="51" t="inlineStr">
        <is>
          <t>AXT101</t>
        </is>
      </c>
      <c r="E78" s="51" t="inlineStr"/>
      <c r="F78" s="51" t="inlineStr"/>
      <c r="G78" s="51" t="inlineStr"/>
      <c r="H78" s="51" t="inlineStr"/>
      <c r="I78" s="51" t="inlineStr"/>
      <c r="J78" s="51" t="inlineStr"/>
      <c r="K78" s="51" t="inlineStr">
        <is>
          <t>g</t>
        </is>
      </c>
      <c r="L78" s="51" t="inlineStr">
        <is>
          <t>Dodatek do lakieru bezbarwnego</t>
        </is>
      </c>
      <c r="M78" s="51" t="inlineStr">
        <is>
          <t>DO WERYFIKACJI</t>
        </is>
      </c>
      <c r="N78" s="51" t="inlineStr">
        <is>
          <t>Brak nazwy w PDF dobarwiania i w ODS</t>
        </is>
      </c>
      <c r="O78" s="51" t="inlineStr">
        <is>
          <t>BRAK</t>
        </is>
      </c>
      <c r="P78" s="51" t="inlineStr">
        <is>
          <t>NIE</t>
        </is>
      </c>
      <c r="Q78" s="51" t="inlineStr">
        <is>
          <t>TAK</t>
        </is>
      </c>
      <c r="R78" s="51" t="inlineStr"/>
      <c r="S78" s="51" t="inlineStr"/>
    </row>
    <row r="79" ht="48" customHeight="1">
      <c r="A79" s="51" t="inlineStr">
        <is>
          <t>DUXONE|AXT102</t>
        </is>
      </c>
      <c r="B79" s="51" t="inlineStr">
        <is>
          <t>DUXONE</t>
        </is>
      </c>
      <c r="C79" s="51" t="inlineStr">
        <is>
          <t>AXT102</t>
        </is>
      </c>
      <c r="D79" s="51" t="inlineStr">
        <is>
          <t>AXT102</t>
        </is>
      </c>
      <c r="E79" s="51" t="inlineStr"/>
      <c r="F79" s="51" t="inlineStr"/>
      <c r="G79" s="51" t="inlineStr"/>
      <c r="H79" s="51" t="inlineStr"/>
      <c r="I79" s="51" t="inlineStr"/>
      <c r="J79" s="51" t="inlineStr"/>
      <c r="K79" s="51" t="inlineStr">
        <is>
          <t>g</t>
        </is>
      </c>
      <c r="L79" s="51" t="inlineStr">
        <is>
          <t>Dodatek do lakieru bezbarwnego</t>
        </is>
      </c>
      <c r="M79" s="51" t="inlineStr">
        <is>
          <t>DO WERYFIKACJI</t>
        </is>
      </c>
      <c r="N79" s="51" t="inlineStr">
        <is>
          <t>Brak nazwy w PDF dobarwiania i w ODS</t>
        </is>
      </c>
      <c r="O79" s="51" t="inlineStr">
        <is>
          <t>BRAK</t>
        </is>
      </c>
      <c r="P79" s="51" t="inlineStr">
        <is>
          <t>NIE</t>
        </is>
      </c>
      <c r="Q79" s="51" t="inlineStr">
        <is>
          <t>TAK</t>
        </is>
      </c>
      <c r="R79" s="51" t="inlineStr"/>
      <c r="S79" s="51" t="inlineStr"/>
    </row>
    <row r="80" ht="48" customHeight="1">
      <c r="A80" s="51" t="inlineStr">
        <is>
          <t>DUXONE|AXT103</t>
        </is>
      </c>
      <c r="B80" s="51" t="inlineStr">
        <is>
          <t>DUXONE</t>
        </is>
      </c>
      <c r="C80" s="51" t="inlineStr">
        <is>
          <t>AXT103</t>
        </is>
      </c>
      <c r="D80" s="51" t="inlineStr">
        <is>
          <t>AXT103</t>
        </is>
      </c>
      <c r="E80" s="51" t="inlineStr"/>
      <c r="F80" s="51" t="inlineStr"/>
      <c r="G80" s="51" t="inlineStr"/>
      <c r="H80" s="51" t="inlineStr"/>
      <c r="I80" s="51" t="inlineStr"/>
      <c r="J80" s="51" t="inlineStr"/>
      <c r="K80" s="51" t="inlineStr">
        <is>
          <t>g</t>
        </is>
      </c>
      <c r="L80" s="51" t="inlineStr">
        <is>
          <t>Dodatek do lakieru bezbarwnego</t>
        </is>
      </c>
      <c r="M80" s="51" t="inlineStr">
        <is>
          <t>DO WERYFIKACJI</t>
        </is>
      </c>
      <c r="N80" s="51" t="inlineStr">
        <is>
          <t>Brak nazwy w PDF dobarwiania i w ODS</t>
        </is>
      </c>
      <c r="O80" s="51" t="inlineStr">
        <is>
          <t>BRAK</t>
        </is>
      </c>
      <c r="P80" s="51" t="inlineStr">
        <is>
          <t>NIE</t>
        </is>
      </c>
      <c r="Q80" s="51" t="inlineStr">
        <is>
          <t>TAK</t>
        </is>
      </c>
      <c r="R80" s="51" t="inlineStr"/>
      <c r="S80" s="51" t="inlineStr"/>
    </row>
    <row r="81" ht="48" customHeight="1">
      <c r="A81" s="51" t="inlineStr">
        <is>
          <t>DUXONE|AXT104</t>
        </is>
      </c>
      <c r="B81" s="51" t="inlineStr">
        <is>
          <t>DUXONE</t>
        </is>
      </c>
      <c r="C81" s="51" t="inlineStr">
        <is>
          <t>AXT104</t>
        </is>
      </c>
      <c r="D81" s="51" t="inlineStr">
        <is>
          <t>AXT104</t>
        </is>
      </c>
      <c r="E81" s="51" t="inlineStr"/>
      <c r="F81" s="51" t="inlineStr"/>
      <c r="G81" s="51" t="inlineStr"/>
      <c r="H81" s="51" t="inlineStr"/>
      <c r="I81" s="51" t="inlineStr"/>
      <c r="J81" s="51" t="inlineStr"/>
      <c r="K81" s="51" t="inlineStr">
        <is>
          <t>g</t>
        </is>
      </c>
      <c r="L81" s="51" t="inlineStr">
        <is>
          <t>Dodatek do lakieru bezbarwnego</t>
        </is>
      </c>
      <c r="M81" s="51" t="inlineStr">
        <is>
          <t>DO WERYFIKACJI</t>
        </is>
      </c>
      <c r="N81" s="51" t="inlineStr">
        <is>
          <t>Brak nazwy w PDF dobarwiania i w ODS</t>
        </is>
      </c>
      <c r="O81" s="51" t="inlineStr">
        <is>
          <t>BRAK</t>
        </is>
      </c>
      <c r="P81" s="51" t="inlineStr">
        <is>
          <t>NIE</t>
        </is>
      </c>
      <c r="Q81" s="51" t="inlineStr">
        <is>
          <t>TAK</t>
        </is>
      </c>
      <c r="R81" s="51" t="inlineStr"/>
      <c r="S81" s="51" t="inlineStr"/>
    </row>
    <row r="82" ht="48" customHeight="1">
      <c r="A82" s="51" t="inlineStr">
        <is>
          <t>DUXONE|AXT105</t>
        </is>
      </c>
      <c r="B82" s="51" t="inlineStr">
        <is>
          <t>DUXONE</t>
        </is>
      </c>
      <c r="C82" s="51" t="inlineStr">
        <is>
          <t>AXT105</t>
        </is>
      </c>
      <c r="D82" s="51" t="inlineStr">
        <is>
          <t>AXT105</t>
        </is>
      </c>
      <c r="E82" s="51" t="inlineStr"/>
      <c r="F82" s="51" t="inlineStr"/>
      <c r="G82" s="51" t="inlineStr"/>
      <c r="H82" s="51" t="inlineStr"/>
      <c r="I82" s="51" t="inlineStr"/>
      <c r="J82" s="51" t="inlineStr"/>
      <c r="K82" s="51" t="inlineStr">
        <is>
          <t>g</t>
        </is>
      </c>
      <c r="L82" s="51" t="inlineStr">
        <is>
          <t>Dodatek do lakieru bezbarwnego</t>
        </is>
      </c>
      <c r="M82" s="51" t="inlineStr">
        <is>
          <t>DO WERYFIKACJI</t>
        </is>
      </c>
      <c r="N82" s="51" t="inlineStr">
        <is>
          <t>Brak nazwy w PDF dobarwiania i w ODS</t>
        </is>
      </c>
      <c r="O82" s="51" t="inlineStr">
        <is>
          <t>BRAK</t>
        </is>
      </c>
      <c r="P82" s="51" t="inlineStr">
        <is>
          <t>NIE</t>
        </is>
      </c>
      <c r="Q82" s="51" t="inlineStr">
        <is>
          <t>TAK</t>
        </is>
      </c>
      <c r="R82" s="51" t="inlineStr"/>
      <c r="S82" s="51" t="inlineStr"/>
    </row>
    <row r="83" ht="48" customHeight="1">
      <c r="A83" s="51" t="inlineStr">
        <is>
          <t>DUXONE|AXT106</t>
        </is>
      </c>
      <c r="B83" s="51" t="inlineStr">
        <is>
          <t>DUXONE</t>
        </is>
      </c>
      <c r="C83" s="51" t="inlineStr">
        <is>
          <t>AXT106</t>
        </is>
      </c>
      <c r="D83" s="51" t="inlineStr">
        <is>
          <t>AXT106</t>
        </is>
      </c>
      <c r="E83" s="51" t="inlineStr"/>
      <c r="F83" s="51" t="inlineStr"/>
      <c r="G83" s="51" t="inlineStr"/>
      <c r="H83" s="51" t="inlineStr"/>
      <c r="I83" s="51" t="inlineStr"/>
      <c r="J83" s="51" t="inlineStr"/>
      <c r="K83" s="51" t="inlineStr">
        <is>
          <t>g</t>
        </is>
      </c>
      <c r="L83" s="51" t="inlineStr">
        <is>
          <t>Dodatek do lakieru bezbarwnego</t>
        </is>
      </c>
      <c r="M83" s="51" t="inlineStr">
        <is>
          <t>DO WERYFIKACJI</t>
        </is>
      </c>
      <c r="N83" s="51" t="inlineStr">
        <is>
          <t>Brak nazwy w PDF dobarwiania i w ODS</t>
        </is>
      </c>
      <c r="O83" s="51" t="inlineStr">
        <is>
          <t>BRAK</t>
        </is>
      </c>
      <c r="P83" s="51" t="inlineStr">
        <is>
          <t>NIE</t>
        </is>
      </c>
      <c r="Q83" s="51" t="inlineStr">
        <is>
          <t>TAK</t>
        </is>
      </c>
      <c r="R83" s="51" t="inlineStr"/>
      <c r="S83" s="51" t="inlineStr"/>
    </row>
    <row r="84" ht="48" customHeight="1">
      <c r="A84" s="51" t="inlineStr">
        <is>
          <t>DUXONE|AXT107</t>
        </is>
      </c>
      <c r="B84" s="51" t="inlineStr">
        <is>
          <t>DUXONE</t>
        </is>
      </c>
      <c r="C84" s="51" t="inlineStr">
        <is>
          <t>AXT107</t>
        </is>
      </c>
      <c r="D84" s="51" t="inlineStr">
        <is>
          <t>AXT107</t>
        </is>
      </c>
      <c r="E84" s="51" t="inlineStr"/>
      <c r="F84" s="51" t="inlineStr"/>
      <c r="G84" s="51" t="inlineStr"/>
      <c r="H84" s="51" t="inlineStr"/>
      <c r="I84" s="51" t="inlineStr"/>
      <c r="J84" s="51" t="inlineStr"/>
      <c r="K84" s="51" t="inlineStr">
        <is>
          <t>g</t>
        </is>
      </c>
      <c r="L84" s="51" t="inlineStr">
        <is>
          <t>Dodatek do lakieru bezbarwnego</t>
        </is>
      </c>
      <c r="M84" s="51" t="inlineStr">
        <is>
          <t>DO WERYFIKACJI</t>
        </is>
      </c>
      <c r="N84" s="51" t="inlineStr">
        <is>
          <t>Brak nazwy w PDF dobarwiania i w ODS</t>
        </is>
      </c>
      <c r="O84" s="51" t="inlineStr">
        <is>
          <t>BRAK</t>
        </is>
      </c>
      <c r="P84" s="51" t="inlineStr">
        <is>
          <t>NIE</t>
        </is>
      </c>
      <c r="Q84" s="51" t="inlineStr">
        <is>
          <t>TAK</t>
        </is>
      </c>
      <c r="R84" s="51" t="inlineStr"/>
      <c r="S84" s="51" t="inlineStr"/>
    </row>
    <row r="85" ht="48" customHeight="1">
      <c r="A85" s="51" t="inlineStr">
        <is>
          <t>DUXONE|AXT108</t>
        </is>
      </c>
      <c r="B85" s="51" t="inlineStr">
        <is>
          <t>DUXONE</t>
        </is>
      </c>
      <c r="C85" s="51" t="inlineStr">
        <is>
          <t>AXT108</t>
        </is>
      </c>
      <c r="D85" s="51" t="inlineStr">
        <is>
          <t>AXT108</t>
        </is>
      </c>
      <c r="E85" s="51" t="inlineStr"/>
      <c r="F85" s="51" t="inlineStr"/>
      <c r="G85" s="51" t="inlineStr"/>
      <c r="H85" s="51" t="inlineStr"/>
      <c r="I85" s="51" t="inlineStr"/>
      <c r="J85" s="51" t="inlineStr"/>
      <c r="K85" s="51" t="inlineStr">
        <is>
          <t>g</t>
        </is>
      </c>
      <c r="L85" s="51" t="inlineStr">
        <is>
          <t>Dodatek do lakieru bezbarwnego</t>
        </is>
      </c>
      <c r="M85" s="51" t="inlineStr">
        <is>
          <t>DO WERYFIKACJI</t>
        </is>
      </c>
      <c r="N85" s="51" t="inlineStr">
        <is>
          <t>Brak nazwy w PDF dobarwiania i w ODS</t>
        </is>
      </c>
      <c r="O85" s="51" t="inlineStr">
        <is>
          <t>BRAK</t>
        </is>
      </c>
      <c r="P85" s="51" t="inlineStr">
        <is>
          <t>NIE</t>
        </is>
      </c>
      <c r="Q85" s="51" t="inlineStr">
        <is>
          <t>TAK</t>
        </is>
      </c>
      <c r="R85" s="51" t="inlineStr"/>
      <c r="S85" s="51" t="inlineStr"/>
    </row>
    <row r="86" ht="48" customHeight="1">
      <c r="A86" s="51" t="inlineStr">
        <is>
          <t>DUXONE|AXT109</t>
        </is>
      </c>
      <c r="B86" s="51" t="inlineStr">
        <is>
          <t>DUXONE</t>
        </is>
      </c>
      <c r="C86" s="51" t="inlineStr">
        <is>
          <t>AXT109</t>
        </is>
      </c>
      <c r="D86" s="51" t="inlineStr">
        <is>
          <t>AXT109</t>
        </is>
      </c>
      <c r="E86" s="51" t="inlineStr"/>
      <c r="F86" s="51" t="inlineStr"/>
      <c r="G86" s="51" t="inlineStr"/>
      <c r="H86" s="51" t="inlineStr"/>
      <c r="I86" s="51" t="inlineStr"/>
      <c r="J86" s="51" t="inlineStr"/>
      <c r="K86" s="51" t="inlineStr">
        <is>
          <t>g</t>
        </is>
      </c>
      <c r="L86" s="51" t="inlineStr">
        <is>
          <t>Dodatek do lakieru bezbarwnego</t>
        </is>
      </c>
      <c r="M86" s="51" t="inlineStr">
        <is>
          <t>DO WERYFIKACJI</t>
        </is>
      </c>
      <c r="N86" s="51" t="inlineStr">
        <is>
          <t>Brak nazwy w PDF dobarwiania i w ODS</t>
        </is>
      </c>
      <c r="O86" s="51" t="inlineStr">
        <is>
          <t>BRAK</t>
        </is>
      </c>
      <c r="P86" s="51" t="inlineStr">
        <is>
          <t>NIE</t>
        </is>
      </c>
      <c r="Q86" s="51" t="inlineStr">
        <is>
          <t>TAK</t>
        </is>
      </c>
      <c r="R86" s="51" t="inlineStr"/>
      <c r="S86" s="51" t="inlineStr"/>
    </row>
    <row r="87" ht="48" customHeight="1">
      <c r="A87" s="51" t="inlineStr">
        <is>
          <t>DUXONE|AXT110</t>
        </is>
      </c>
      <c r="B87" s="51" t="inlineStr">
        <is>
          <t>DUXONE</t>
        </is>
      </c>
      <c r="C87" s="51" t="inlineStr">
        <is>
          <t>AXT110</t>
        </is>
      </c>
      <c r="D87" s="51" t="inlineStr">
        <is>
          <t>AXT110</t>
        </is>
      </c>
      <c r="E87" s="51" t="inlineStr"/>
      <c r="F87" s="51" t="inlineStr"/>
      <c r="G87" s="51" t="inlineStr"/>
      <c r="H87" s="51" t="inlineStr"/>
      <c r="I87" s="51" t="inlineStr"/>
      <c r="J87" s="51" t="inlineStr"/>
      <c r="K87" s="51" t="inlineStr">
        <is>
          <t>g</t>
        </is>
      </c>
      <c r="L87" s="51" t="inlineStr">
        <is>
          <t>Dodatek do lakieru bezbarwnego</t>
        </is>
      </c>
      <c r="M87" s="51" t="inlineStr">
        <is>
          <t>DO WERYFIKACJI</t>
        </is>
      </c>
      <c r="N87" s="51" t="inlineStr">
        <is>
          <t>Brak nazwy w PDF dobarwiania i w ODS</t>
        </is>
      </c>
      <c r="O87" s="51" t="inlineStr">
        <is>
          <t>BRAK</t>
        </is>
      </c>
      <c r="P87" s="51" t="inlineStr">
        <is>
          <t>NIE</t>
        </is>
      </c>
      <c r="Q87" s="51" t="inlineStr">
        <is>
          <t>TAK</t>
        </is>
      </c>
      <c r="R87" s="51" t="inlineStr"/>
      <c r="S87" s="51" t="inlineStr"/>
    </row>
  </sheetData>
  <autoFilter ref="A8:S87"/>
  <mergeCells count="2">
    <mergeCell ref="A2:S2"/>
    <mergeCell ref="A1:S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194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36" customWidth="1" min="4" max="4"/>
    <col width="12" customWidth="1" min="5" max="5"/>
    <col width="12" customWidth="1" min="6" max="6"/>
    <col width="22" customWidth="1" min="7" max="7"/>
    <col width="16" customWidth="1" min="8" max="8"/>
    <col width="55" customWidth="1" min="9" max="9"/>
    <col width="16" customWidth="1" min="10" max="10"/>
    <col width="32" customWidth="1" min="11" max="11"/>
    <col width="32" customWidth="1" min="12" max="12"/>
    <col width="50" customWidth="1" min="13" max="13"/>
    <col width="55" customWidth="1" min="14" max="14"/>
  </cols>
  <sheetData>
    <row r="1" ht="28" customHeight="1">
      <c r="A1" s="1" t="inlineStr">
        <is>
          <t>PIGMENTY — wspólna baza wyszukiwania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</row>
    <row r="2" ht="18" customHeight="1">
      <c r="A2" s="3" t="inlineStr">
        <is>
          <t>Filtruj kolumnę SYSTEM (AUTOCOLOR / DUXONE) oraz NR / NAZWA. AUTOCOLOR 123 i DUXONE 123 to dwa różne pigmenty. Opisy dobarwiania Autocolor — po polsku.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</row>
    <row r="4">
      <c r="A4" s="34" t="inlineStr">
        <is>
          <t>INSTRUKCJA</t>
        </is>
      </c>
      <c r="B4" s="25" t="inlineStr">
        <is>
          <t>Włącz filtry w wierszu 8. SYSTEM: AUTOCOLOR lub DUXONE. Wyszukaj numer lub nazwę. Nie wpisuj numerów ręcznie w recepturze — wybierz SYSTEM, potem NR z listy rozwijanej. AUTOCOLOR: nazwa katalogowa EN, opis działania PL (kolumna OPIS_DOBARWIANIA).</t>
        </is>
      </c>
    </row>
    <row r="8">
      <c r="A8" s="26" t="inlineStr">
        <is>
          <t>KLUCZ</t>
        </is>
      </c>
      <c r="B8" s="26" t="inlineStr">
        <is>
          <t>SYSTEM</t>
        </is>
      </c>
      <c r="C8" s="26" t="inlineStr">
        <is>
          <t>NR_PIGMENTU</t>
        </is>
      </c>
      <c r="D8" s="26" t="inlineStr">
        <is>
          <t>NAZWA</t>
        </is>
      </c>
      <c r="E8" s="26" t="inlineStr">
        <is>
          <t>JEDNOSTKA</t>
        </is>
      </c>
      <c r="F8" s="26" t="inlineStr">
        <is>
          <t>CZYNNIK_E</t>
        </is>
      </c>
      <c r="G8" s="26" t="inlineStr">
        <is>
          <t>KATEGORIA</t>
        </is>
      </c>
      <c r="H8" s="26" t="inlineStr">
        <is>
          <t>STATUS_DANYCH</t>
        </is>
      </c>
      <c r="I8" s="26" t="inlineStr">
        <is>
          <t>OPIS_DOBARWIANIA</t>
        </is>
      </c>
      <c r="J8" s="26" t="inlineStr">
        <is>
          <t>ZRODLO_NAZWY</t>
        </is>
      </c>
      <c r="K8" s="26" t="inlineStr">
        <is>
          <t>NAZWA_ODS</t>
        </is>
      </c>
      <c r="L8" s="26" t="inlineStr">
        <is>
          <t>NAZWA_PDF</t>
        </is>
      </c>
      <c r="M8" s="26" t="inlineStr">
        <is>
          <t>OPIS_EN</t>
        </is>
      </c>
      <c r="N8" s="26" t="inlineStr">
        <is>
          <t>OPIS_DZIALANIA_PL</t>
        </is>
      </c>
    </row>
    <row r="9" ht="40" customHeight="1">
      <c r="A9" s="52">
        <f>BAZA_AUTOCOLOR!A9</f>
        <v/>
      </c>
      <c r="B9" s="52">
        <f>BAZA_AUTOCOLOR!B9</f>
        <v/>
      </c>
      <c r="C9" s="52">
        <f>BAZA_AUTOCOLOR!C9</f>
        <v/>
      </c>
      <c r="D9" s="52">
        <f>BAZA_AUTOCOLOR!G9</f>
        <v/>
      </c>
      <c r="E9" s="52">
        <f>BAZA_AUTOCOLOR!K9</f>
        <v/>
      </c>
      <c r="F9" s="52">
        <f>BAZA_AUTOCOLOR!F9</f>
        <v/>
      </c>
      <c r="G9" s="52">
        <f>BAZA_AUTOCOLOR!L9</f>
        <v/>
      </c>
      <c r="H9" s="52">
        <f>BAZA_AUTOCOLOR!M9</f>
        <v/>
      </c>
      <c r="I9" s="52">
        <f>BAZA_AUTOCOLOR!J9</f>
        <v/>
      </c>
      <c r="J9" s="52">
        <f>BAZA_AUTOCOLOR!O9</f>
        <v/>
      </c>
      <c r="K9" s="52">
        <f>BAZA_AUTOCOLOR!H9</f>
        <v/>
      </c>
      <c r="L9" s="52">
        <f>BAZA_AUTOCOLOR!I9</f>
        <v/>
      </c>
      <c r="M9" s="52">
        <f>BAZA_AUTOCOLOR!R9</f>
        <v/>
      </c>
      <c r="N9" s="52">
        <f>BAZA_AUTOCOLOR!S9</f>
        <v/>
      </c>
    </row>
    <row r="10" ht="40" customHeight="1">
      <c r="A10" s="52">
        <f>BAZA_AUTOCOLOR!A10</f>
        <v/>
      </c>
      <c r="B10" s="52">
        <f>BAZA_AUTOCOLOR!B10</f>
        <v/>
      </c>
      <c r="C10" s="52">
        <f>BAZA_AUTOCOLOR!C10</f>
        <v/>
      </c>
      <c r="D10" s="52">
        <f>BAZA_AUTOCOLOR!G10</f>
        <v/>
      </c>
      <c r="E10" s="52">
        <f>BAZA_AUTOCOLOR!K10</f>
        <v/>
      </c>
      <c r="F10" s="52">
        <f>BAZA_AUTOCOLOR!F10</f>
        <v/>
      </c>
      <c r="G10" s="52">
        <f>BAZA_AUTOCOLOR!L10</f>
        <v/>
      </c>
      <c r="H10" s="52">
        <f>BAZA_AUTOCOLOR!M10</f>
        <v/>
      </c>
      <c r="I10" s="52">
        <f>BAZA_AUTOCOLOR!J10</f>
        <v/>
      </c>
      <c r="J10" s="52">
        <f>BAZA_AUTOCOLOR!O10</f>
        <v/>
      </c>
      <c r="K10" s="52">
        <f>BAZA_AUTOCOLOR!H10</f>
        <v/>
      </c>
      <c r="L10" s="52">
        <f>BAZA_AUTOCOLOR!I10</f>
        <v/>
      </c>
      <c r="M10" s="52">
        <f>BAZA_AUTOCOLOR!R10</f>
        <v/>
      </c>
      <c r="N10" s="52">
        <f>BAZA_AUTOCOLOR!S10</f>
        <v/>
      </c>
    </row>
    <row r="11" ht="40" customHeight="1">
      <c r="A11" s="52">
        <f>BAZA_AUTOCOLOR!A11</f>
        <v/>
      </c>
      <c r="B11" s="52">
        <f>BAZA_AUTOCOLOR!B11</f>
        <v/>
      </c>
      <c r="C11" s="52">
        <f>BAZA_AUTOCOLOR!C11</f>
        <v/>
      </c>
      <c r="D11" s="52">
        <f>BAZA_AUTOCOLOR!G11</f>
        <v/>
      </c>
      <c r="E11" s="52">
        <f>BAZA_AUTOCOLOR!K11</f>
        <v/>
      </c>
      <c r="F11" s="52">
        <f>BAZA_AUTOCOLOR!F11</f>
        <v/>
      </c>
      <c r="G11" s="52">
        <f>BAZA_AUTOCOLOR!L11</f>
        <v/>
      </c>
      <c r="H11" s="52">
        <f>BAZA_AUTOCOLOR!M11</f>
        <v/>
      </c>
      <c r="I11" s="52">
        <f>BAZA_AUTOCOLOR!J11</f>
        <v/>
      </c>
      <c r="J11" s="52">
        <f>BAZA_AUTOCOLOR!O11</f>
        <v/>
      </c>
      <c r="K11" s="52">
        <f>BAZA_AUTOCOLOR!H11</f>
        <v/>
      </c>
      <c r="L11" s="52">
        <f>BAZA_AUTOCOLOR!I11</f>
        <v/>
      </c>
      <c r="M11" s="52">
        <f>BAZA_AUTOCOLOR!R11</f>
        <v/>
      </c>
      <c r="N11" s="52">
        <f>BAZA_AUTOCOLOR!S11</f>
        <v/>
      </c>
    </row>
    <row r="12" ht="40" customHeight="1">
      <c r="A12" s="52">
        <f>BAZA_AUTOCOLOR!A12</f>
        <v/>
      </c>
      <c r="B12" s="52">
        <f>BAZA_AUTOCOLOR!B12</f>
        <v/>
      </c>
      <c r="C12" s="52">
        <f>BAZA_AUTOCOLOR!C12</f>
        <v/>
      </c>
      <c r="D12" s="52">
        <f>BAZA_AUTOCOLOR!G12</f>
        <v/>
      </c>
      <c r="E12" s="52">
        <f>BAZA_AUTOCOLOR!K12</f>
        <v/>
      </c>
      <c r="F12" s="52">
        <f>BAZA_AUTOCOLOR!F12</f>
        <v/>
      </c>
      <c r="G12" s="52">
        <f>BAZA_AUTOCOLOR!L12</f>
        <v/>
      </c>
      <c r="H12" s="52">
        <f>BAZA_AUTOCOLOR!M12</f>
        <v/>
      </c>
      <c r="I12" s="52">
        <f>BAZA_AUTOCOLOR!J12</f>
        <v/>
      </c>
      <c r="J12" s="52">
        <f>BAZA_AUTOCOLOR!O12</f>
        <v/>
      </c>
      <c r="K12" s="52">
        <f>BAZA_AUTOCOLOR!H12</f>
        <v/>
      </c>
      <c r="L12" s="52">
        <f>BAZA_AUTOCOLOR!I12</f>
        <v/>
      </c>
      <c r="M12" s="52">
        <f>BAZA_AUTOCOLOR!R12</f>
        <v/>
      </c>
      <c r="N12" s="52">
        <f>BAZA_AUTOCOLOR!S12</f>
        <v/>
      </c>
    </row>
    <row r="13" ht="40" customHeight="1">
      <c r="A13" s="52">
        <f>BAZA_AUTOCOLOR!A13</f>
        <v/>
      </c>
      <c r="B13" s="52">
        <f>BAZA_AUTOCOLOR!B13</f>
        <v/>
      </c>
      <c r="C13" s="52">
        <f>BAZA_AUTOCOLOR!C13</f>
        <v/>
      </c>
      <c r="D13" s="52">
        <f>BAZA_AUTOCOLOR!G13</f>
        <v/>
      </c>
      <c r="E13" s="52">
        <f>BAZA_AUTOCOLOR!K13</f>
        <v/>
      </c>
      <c r="F13" s="52">
        <f>BAZA_AUTOCOLOR!F13</f>
        <v/>
      </c>
      <c r="G13" s="52">
        <f>BAZA_AUTOCOLOR!L13</f>
        <v/>
      </c>
      <c r="H13" s="52">
        <f>BAZA_AUTOCOLOR!M13</f>
        <v/>
      </c>
      <c r="I13" s="52">
        <f>BAZA_AUTOCOLOR!J13</f>
        <v/>
      </c>
      <c r="J13" s="52">
        <f>BAZA_AUTOCOLOR!O13</f>
        <v/>
      </c>
      <c r="K13" s="52">
        <f>BAZA_AUTOCOLOR!H13</f>
        <v/>
      </c>
      <c r="L13" s="52">
        <f>BAZA_AUTOCOLOR!I13</f>
        <v/>
      </c>
      <c r="M13" s="52">
        <f>BAZA_AUTOCOLOR!R13</f>
        <v/>
      </c>
      <c r="N13" s="52">
        <f>BAZA_AUTOCOLOR!S13</f>
        <v/>
      </c>
    </row>
    <row r="14" ht="40" customHeight="1">
      <c r="A14" s="52">
        <f>BAZA_AUTOCOLOR!A14</f>
        <v/>
      </c>
      <c r="B14" s="52">
        <f>BAZA_AUTOCOLOR!B14</f>
        <v/>
      </c>
      <c r="C14" s="52">
        <f>BAZA_AUTOCOLOR!C14</f>
        <v/>
      </c>
      <c r="D14" s="52">
        <f>BAZA_AUTOCOLOR!G14</f>
        <v/>
      </c>
      <c r="E14" s="52">
        <f>BAZA_AUTOCOLOR!K14</f>
        <v/>
      </c>
      <c r="F14" s="52">
        <f>BAZA_AUTOCOLOR!F14</f>
        <v/>
      </c>
      <c r="G14" s="52">
        <f>BAZA_AUTOCOLOR!L14</f>
        <v/>
      </c>
      <c r="H14" s="52">
        <f>BAZA_AUTOCOLOR!M14</f>
        <v/>
      </c>
      <c r="I14" s="52">
        <f>BAZA_AUTOCOLOR!J14</f>
        <v/>
      </c>
      <c r="J14" s="52">
        <f>BAZA_AUTOCOLOR!O14</f>
        <v/>
      </c>
      <c r="K14" s="52">
        <f>BAZA_AUTOCOLOR!H14</f>
        <v/>
      </c>
      <c r="L14" s="52">
        <f>BAZA_AUTOCOLOR!I14</f>
        <v/>
      </c>
      <c r="M14" s="52">
        <f>BAZA_AUTOCOLOR!R14</f>
        <v/>
      </c>
      <c r="N14" s="52">
        <f>BAZA_AUTOCOLOR!S14</f>
        <v/>
      </c>
    </row>
    <row r="15" ht="40" customHeight="1">
      <c r="A15" s="52">
        <f>BAZA_AUTOCOLOR!A15</f>
        <v/>
      </c>
      <c r="B15" s="52">
        <f>BAZA_AUTOCOLOR!B15</f>
        <v/>
      </c>
      <c r="C15" s="52">
        <f>BAZA_AUTOCOLOR!C15</f>
        <v/>
      </c>
      <c r="D15" s="52">
        <f>BAZA_AUTOCOLOR!G15</f>
        <v/>
      </c>
      <c r="E15" s="52">
        <f>BAZA_AUTOCOLOR!K15</f>
        <v/>
      </c>
      <c r="F15" s="52">
        <f>BAZA_AUTOCOLOR!F15</f>
        <v/>
      </c>
      <c r="G15" s="52">
        <f>BAZA_AUTOCOLOR!L15</f>
        <v/>
      </c>
      <c r="H15" s="52">
        <f>BAZA_AUTOCOLOR!M15</f>
        <v/>
      </c>
      <c r="I15" s="52">
        <f>BAZA_AUTOCOLOR!J15</f>
        <v/>
      </c>
      <c r="J15" s="52">
        <f>BAZA_AUTOCOLOR!O15</f>
        <v/>
      </c>
      <c r="K15" s="52">
        <f>BAZA_AUTOCOLOR!H15</f>
        <v/>
      </c>
      <c r="L15" s="52">
        <f>BAZA_AUTOCOLOR!I15</f>
        <v/>
      </c>
      <c r="M15" s="52">
        <f>BAZA_AUTOCOLOR!R15</f>
        <v/>
      </c>
      <c r="N15" s="52">
        <f>BAZA_AUTOCOLOR!S15</f>
        <v/>
      </c>
    </row>
    <row r="16" ht="40" customHeight="1">
      <c r="A16" s="52">
        <f>BAZA_AUTOCOLOR!A16</f>
        <v/>
      </c>
      <c r="B16" s="52">
        <f>BAZA_AUTOCOLOR!B16</f>
        <v/>
      </c>
      <c r="C16" s="52">
        <f>BAZA_AUTOCOLOR!C16</f>
        <v/>
      </c>
      <c r="D16" s="52">
        <f>BAZA_AUTOCOLOR!G16</f>
        <v/>
      </c>
      <c r="E16" s="52">
        <f>BAZA_AUTOCOLOR!K16</f>
        <v/>
      </c>
      <c r="F16" s="52">
        <f>BAZA_AUTOCOLOR!F16</f>
        <v/>
      </c>
      <c r="G16" s="52">
        <f>BAZA_AUTOCOLOR!L16</f>
        <v/>
      </c>
      <c r="H16" s="52">
        <f>BAZA_AUTOCOLOR!M16</f>
        <v/>
      </c>
      <c r="I16" s="52">
        <f>BAZA_AUTOCOLOR!J16</f>
        <v/>
      </c>
      <c r="J16" s="52">
        <f>BAZA_AUTOCOLOR!O16</f>
        <v/>
      </c>
      <c r="K16" s="52">
        <f>BAZA_AUTOCOLOR!H16</f>
        <v/>
      </c>
      <c r="L16" s="52">
        <f>BAZA_AUTOCOLOR!I16</f>
        <v/>
      </c>
      <c r="M16" s="52">
        <f>BAZA_AUTOCOLOR!R16</f>
        <v/>
      </c>
      <c r="N16" s="52">
        <f>BAZA_AUTOCOLOR!S16</f>
        <v/>
      </c>
    </row>
    <row r="17" ht="40" customHeight="1">
      <c r="A17" s="52">
        <f>BAZA_AUTOCOLOR!A17</f>
        <v/>
      </c>
      <c r="B17" s="52">
        <f>BAZA_AUTOCOLOR!B17</f>
        <v/>
      </c>
      <c r="C17" s="52">
        <f>BAZA_AUTOCOLOR!C17</f>
        <v/>
      </c>
      <c r="D17" s="52">
        <f>BAZA_AUTOCOLOR!G17</f>
        <v/>
      </c>
      <c r="E17" s="52">
        <f>BAZA_AUTOCOLOR!K17</f>
        <v/>
      </c>
      <c r="F17" s="52">
        <f>BAZA_AUTOCOLOR!F17</f>
        <v/>
      </c>
      <c r="G17" s="52">
        <f>BAZA_AUTOCOLOR!L17</f>
        <v/>
      </c>
      <c r="H17" s="52">
        <f>BAZA_AUTOCOLOR!M17</f>
        <v/>
      </c>
      <c r="I17" s="52">
        <f>BAZA_AUTOCOLOR!J17</f>
        <v/>
      </c>
      <c r="J17" s="52">
        <f>BAZA_AUTOCOLOR!O17</f>
        <v/>
      </c>
      <c r="K17" s="52">
        <f>BAZA_AUTOCOLOR!H17</f>
        <v/>
      </c>
      <c r="L17" s="52">
        <f>BAZA_AUTOCOLOR!I17</f>
        <v/>
      </c>
      <c r="M17" s="52">
        <f>BAZA_AUTOCOLOR!R17</f>
        <v/>
      </c>
      <c r="N17" s="52">
        <f>BAZA_AUTOCOLOR!S17</f>
        <v/>
      </c>
    </row>
    <row r="18" ht="40" customHeight="1">
      <c r="A18" s="52">
        <f>BAZA_AUTOCOLOR!A18</f>
        <v/>
      </c>
      <c r="B18" s="52">
        <f>BAZA_AUTOCOLOR!B18</f>
        <v/>
      </c>
      <c r="C18" s="52">
        <f>BAZA_AUTOCOLOR!C18</f>
        <v/>
      </c>
      <c r="D18" s="52">
        <f>BAZA_AUTOCOLOR!G18</f>
        <v/>
      </c>
      <c r="E18" s="52">
        <f>BAZA_AUTOCOLOR!K18</f>
        <v/>
      </c>
      <c r="F18" s="52">
        <f>BAZA_AUTOCOLOR!F18</f>
        <v/>
      </c>
      <c r="G18" s="52">
        <f>BAZA_AUTOCOLOR!L18</f>
        <v/>
      </c>
      <c r="H18" s="52">
        <f>BAZA_AUTOCOLOR!M18</f>
        <v/>
      </c>
      <c r="I18" s="52">
        <f>BAZA_AUTOCOLOR!J18</f>
        <v/>
      </c>
      <c r="J18" s="52">
        <f>BAZA_AUTOCOLOR!O18</f>
        <v/>
      </c>
      <c r="K18" s="52">
        <f>BAZA_AUTOCOLOR!H18</f>
        <v/>
      </c>
      <c r="L18" s="52">
        <f>BAZA_AUTOCOLOR!I18</f>
        <v/>
      </c>
      <c r="M18" s="52">
        <f>BAZA_AUTOCOLOR!R18</f>
        <v/>
      </c>
      <c r="N18" s="52">
        <f>BAZA_AUTOCOLOR!S18</f>
        <v/>
      </c>
    </row>
    <row r="19" ht="40" customHeight="1">
      <c r="A19" s="52">
        <f>BAZA_AUTOCOLOR!A19</f>
        <v/>
      </c>
      <c r="B19" s="52">
        <f>BAZA_AUTOCOLOR!B19</f>
        <v/>
      </c>
      <c r="C19" s="52">
        <f>BAZA_AUTOCOLOR!C19</f>
        <v/>
      </c>
      <c r="D19" s="52">
        <f>BAZA_AUTOCOLOR!G19</f>
        <v/>
      </c>
      <c r="E19" s="52">
        <f>BAZA_AUTOCOLOR!K19</f>
        <v/>
      </c>
      <c r="F19" s="52">
        <f>BAZA_AUTOCOLOR!F19</f>
        <v/>
      </c>
      <c r="G19" s="52">
        <f>BAZA_AUTOCOLOR!L19</f>
        <v/>
      </c>
      <c r="H19" s="52">
        <f>BAZA_AUTOCOLOR!M19</f>
        <v/>
      </c>
      <c r="I19" s="52">
        <f>BAZA_AUTOCOLOR!J19</f>
        <v/>
      </c>
      <c r="J19" s="52">
        <f>BAZA_AUTOCOLOR!O19</f>
        <v/>
      </c>
      <c r="K19" s="52">
        <f>BAZA_AUTOCOLOR!H19</f>
        <v/>
      </c>
      <c r="L19" s="52">
        <f>BAZA_AUTOCOLOR!I19</f>
        <v/>
      </c>
      <c r="M19" s="52">
        <f>BAZA_AUTOCOLOR!R19</f>
        <v/>
      </c>
      <c r="N19" s="52">
        <f>BAZA_AUTOCOLOR!S19</f>
        <v/>
      </c>
    </row>
    <row r="20" ht="40" customHeight="1">
      <c r="A20" s="52">
        <f>BAZA_AUTOCOLOR!A20</f>
        <v/>
      </c>
      <c r="B20" s="52">
        <f>BAZA_AUTOCOLOR!B20</f>
        <v/>
      </c>
      <c r="C20" s="52">
        <f>BAZA_AUTOCOLOR!C20</f>
        <v/>
      </c>
      <c r="D20" s="52">
        <f>BAZA_AUTOCOLOR!G20</f>
        <v/>
      </c>
      <c r="E20" s="52">
        <f>BAZA_AUTOCOLOR!K20</f>
        <v/>
      </c>
      <c r="F20" s="52">
        <f>BAZA_AUTOCOLOR!F20</f>
        <v/>
      </c>
      <c r="G20" s="52">
        <f>BAZA_AUTOCOLOR!L20</f>
        <v/>
      </c>
      <c r="H20" s="52">
        <f>BAZA_AUTOCOLOR!M20</f>
        <v/>
      </c>
      <c r="I20" s="52">
        <f>BAZA_AUTOCOLOR!J20</f>
        <v/>
      </c>
      <c r="J20" s="52">
        <f>BAZA_AUTOCOLOR!O20</f>
        <v/>
      </c>
      <c r="K20" s="52">
        <f>BAZA_AUTOCOLOR!H20</f>
        <v/>
      </c>
      <c r="L20" s="52">
        <f>BAZA_AUTOCOLOR!I20</f>
        <v/>
      </c>
      <c r="M20" s="52">
        <f>BAZA_AUTOCOLOR!R20</f>
        <v/>
      </c>
      <c r="N20" s="52">
        <f>BAZA_AUTOCOLOR!S20</f>
        <v/>
      </c>
    </row>
    <row r="21" ht="40" customHeight="1">
      <c r="A21" s="52">
        <f>BAZA_AUTOCOLOR!A21</f>
        <v/>
      </c>
      <c r="B21" s="52">
        <f>BAZA_AUTOCOLOR!B21</f>
        <v/>
      </c>
      <c r="C21" s="52">
        <f>BAZA_AUTOCOLOR!C21</f>
        <v/>
      </c>
      <c r="D21" s="52">
        <f>BAZA_AUTOCOLOR!G21</f>
        <v/>
      </c>
      <c r="E21" s="52">
        <f>BAZA_AUTOCOLOR!K21</f>
        <v/>
      </c>
      <c r="F21" s="52">
        <f>BAZA_AUTOCOLOR!F21</f>
        <v/>
      </c>
      <c r="G21" s="52">
        <f>BAZA_AUTOCOLOR!L21</f>
        <v/>
      </c>
      <c r="H21" s="52">
        <f>BAZA_AUTOCOLOR!M21</f>
        <v/>
      </c>
      <c r="I21" s="52">
        <f>BAZA_AUTOCOLOR!J21</f>
        <v/>
      </c>
      <c r="J21" s="52">
        <f>BAZA_AUTOCOLOR!O21</f>
        <v/>
      </c>
      <c r="K21" s="52">
        <f>BAZA_AUTOCOLOR!H21</f>
        <v/>
      </c>
      <c r="L21" s="52">
        <f>BAZA_AUTOCOLOR!I21</f>
        <v/>
      </c>
      <c r="M21" s="52">
        <f>BAZA_AUTOCOLOR!R21</f>
        <v/>
      </c>
      <c r="N21" s="52">
        <f>BAZA_AUTOCOLOR!S21</f>
        <v/>
      </c>
    </row>
    <row r="22" ht="40" customHeight="1">
      <c r="A22" s="52">
        <f>BAZA_AUTOCOLOR!A22</f>
        <v/>
      </c>
      <c r="B22" s="52">
        <f>BAZA_AUTOCOLOR!B22</f>
        <v/>
      </c>
      <c r="C22" s="52">
        <f>BAZA_AUTOCOLOR!C22</f>
        <v/>
      </c>
      <c r="D22" s="52">
        <f>BAZA_AUTOCOLOR!G22</f>
        <v/>
      </c>
      <c r="E22" s="52">
        <f>BAZA_AUTOCOLOR!K22</f>
        <v/>
      </c>
      <c r="F22" s="52">
        <f>BAZA_AUTOCOLOR!F22</f>
        <v/>
      </c>
      <c r="G22" s="52">
        <f>BAZA_AUTOCOLOR!L22</f>
        <v/>
      </c>
      <c r="H22" s="52">
        <f>BAZA_AUTOCOLOR!M22</f>
        <v/>
      </c>
      <c r="I22" s="52">
        <f>BAZA_AUTOCOLOR!J22</f>
        <v/>
      </c>
      <c r="J22" s="52">
        <f>BAZA_AUTOCOLOR!O22</f>
        <v/>
      </c>
      <c r="K22" s="52">
        <f>BAZA_AUTOCOLOR!H22</f>
        <v/>
      </c>
      <c r="L22" s="52">
        <f>BAZA_AUTOCOLOR!I22</f>
        <v/>
      </c>
      <c r="M22" s="52">
        <f>BAZA_AUTOCOLOR!R22</f>
        <v/>
      </c>
      <c r="N22" s="52">
        <f>BAZA_AUTOCOLOR!S22</f>
        <v/>
      </c>
    </row>
    <row r="23" ht="40" customHeight="1">
      <c r="A23" s="52">
        <f>BAZA_AUTOCOLOR!A23</f>
        <v/>
      </c>
      <c r="B23" s="52">
        <f>BAZA_AUTOCOLOR!B23</f>
        <v/>
      </c>
      <c r="C23" s="52">
        <f>BAZA_AUTOCOLOR!C23</f>
        <v/>
      </c>
      <c r="D23" s="52">
        <f>BAZA_AUTOCOLOR!G23</f>
        <v/>
      </c>
      <c r="E23" s="52">
        <f>BAZA_AUTOCOLOR!K23</f>
        <v/>
      </c>
      <c r="F23" s="52">
        <f>BAZA_AUTOCOLOR!F23</f>
        <v/>
      </c>
      <c r="G23" s="52">
        <f>BAZA_AUTOCOLOR!L23</f>
        <v/>
      </c>
      <c r="H23" s="52">
        <f>BAZA_AUTOCOLOR!M23</f>
        <v/>
      </c>
      <c r="I23" s="52">
        <f>BAZA_AUTOCOLOR!J23</f>
        <v/>
      </c>
      <c r="J23" s="52">
        <f>BAZA_AUTOCOLOR!O23</f>
        <v/>
      </c>
      <c r="K23" s="52">
        <f>BAZA_AUTOCOLOR!H23</f>
        <v/>
      </c>
      <c r="L23" s="52">
        <f>BAZA_AUTOCOLOR!I23</f>
        <v/>
      </c>
      <c r="M23" s="52">
        <f>BAZA_AUTOCOLOR!R23</f>
        <v/>
      </c>
      <c r="N23" s="52">
        <f>BAZA_AUTOCOLOR!S23</f>
        <v/>
      </c>
    </row>
    <row r="24" ht="40" customHeight="1">
      <c r="A24" s="52">
        <f>BAZA_AUTOCOLOR!A24</f>
        <v/>
      </c>
      <c r="B24" s="52">
        <f>BAZA_AUTOCOLOR!B24</f>
        <v/>
      </c>
      <c r="C24" s="52">
        <f>BAZA_AUTOCOLOR!C24</f>
        <v/>
      </c>
      <c r="D24" s="52">
        <f>BAZA_AUTOCOLOR!G24</f>
        <v/>
      </c>
      <c r="E24" s="52">
        <f>BAZA_AUTOCOLOR!K24</f>
        <v/>
      </c>
      <c r="F24" s="52">
        <f>BAZA_AUTOCOLOR!F24</f>
        <v/>
      </c>
      <c r="G24" s="52">
        <f>BAZA_AUTOCOLOR!L24</f>
        <v/>
      </c>
      <c r="H24" s="52">
        <f>BAZA_AUTOCOLOR!M24</f>
        <v/>
      </c>
      <c r="I24" s="52">
        <f>BAZA_AUTOCOLOR!J24</f>
        <v/>
      </c>
      <c r="J24" s="52">
        <f>BAZA_AUTOCOLOR!O24</f>
        <v/>
      </c>
      <c r="K24" s="52">
        <f>BAZA_AUTOCOLOR!H24</f>
        <v/>
      </c>
      <c r="L24" s="52">
        <f>BAZA_AUTOCOLOR!I24</f>
        <v/>
      </c>
      <c r="M24" s="52">
        <f>BAZA_AUTOCOLOR!R24</f>
        <v/>
      </c>
      <c r="N24" s="52">
        <f>BAZA_AUTOCOLOR!S24</f>
        <v/>
      </c>
    </row>
    <row r="25" ht="40" customHeight="1">
      <c r="A25" s="52">
        <f>BAZA_AUTOCOLOR!A25</f>
        <v/>
      </c>
      <c r="B25" s="52">
        <f>BAZA_AUTOCOLOR!B25</f>
        <v/>
      </c>
      <c r="C25" s="52">
        <f>BAZA_AUTOCOLOR!C25</f>
        <v/>
      </c>
      <c r="D25" s="52">
        <f>BAZA_AUTOCOLOR!G25</f>
        <v/>
      </c>
      <c r="E25" s="52">
        <f>BAZA_AUTOCOLOR!K25</f>
        <v/>
      </c>
      <c r="F25" s="52">
        <f>BAZA_AUTOCOLOR!F25</f>
        <v/>
      </c>
      <c r="G25" s="52">
        <f>BAZA_AUTOCOLOR!L25</f>
        <v/>
      </c>
      <c r="H25" s="52">
        <f>BAZA_AUTOCOLOR!M25</f>
        <v/>
      </c>
      <c r="I25" s="52">
        <f>BAZA_AUTOCOLOR!J25</f>
        <v/>
      </c>
      <c r="J25" s="52">
        <f>BAZA_AUTOCOLOR!O25</f>
        <v/>
      </c>
      <c r="K25" s="52">
        <f>BAZA_AUTOCOLOR!H25</f>
        <v/>
      </c>
      <c r="L25" s="52">
        <f>BAZA_AUTOCOLOR!I25</f>
        <v/>
      </c>
      <c r="M25" s="52">
        <f>BAZA_AUTOCOLOR!R25</f>
        <v/>
      </c>
      <c r="N25" s="52">
        <f>BAZA_AUTOCOLOR!S25</f>
        <v/>
      </c>
    </row>
    <row r="26" ht="40" customHeight="1">
      <c r="A26" s="52">
        <f>BAZA_AUTOCOLOR!A26</f>
        <v/>
      </c>
      <c r="B26" s="52">
        <f>BAZA_AUTOCOLOR!B26</f>
        <v/>
      </c>
      <c r="C26" s="52">
        <f>BAZA_AUTOCOLOR!C26</f>
        <v/>
      </c>
      <c r="D26" s="52">
        <f>BAZA_AUTOCOLOR!G26</f>
        <v/>
      </c>
      <c r="E26" s="52">
        <f>BAZA_AUTOCOLOR!K26</f>
        <v/>
      </c>
      <c r="F26" s="52">
        <f>BAZA_AUTOCOLOR!F26</f>
        <v/>
      </c>
      <c r="G26" s="52">
        <f>BAZA_AUTOCOLOR!L26</f>
        <v/>
      </c>
      <c r="H26" s="52">
        <f>BAZA_AUTOCOLOR!M26</f>
        <v/>
      </c>
      <c r="I26" s="52">
        <f>BAZA_AUTOCOLOR!J26</f>
        <v/>
      </c>
      <c r="J26" s="52">
        <f>BAZA_AUTOCOLOR!O26</f>
        <v/>
      </c>
      <c r="K26" s="52">
        <f>BAZA_AUTOCOLOR!H26</f>
        <v/>
      </c>
      <c r="L26" s="52">
        <f>BAZA_AUTOCOLOR!I26</f>
        <v/>
      </c>
      <c r="M26" s="52">
        <f>BAZA_AUTOCOLOR!R26</f>
        <v/>
      </c>
      <c r="N26" s="52">
        <f>BAZA_AUTOCOLOR!S26</f>
        <v/>
      </c>
    </row>
    <row r="27" ht="40" customHeight="1">
      <c r="A27" s="52">
        <f>BAZA_AUTOCOLOR!A27</f>
        <v/>
      </c>
      <c r="B27" s="52">
        <f>BAZA_AUTOCOLOR!B27</f>
        <v/>
      </c>
      <c r="C27" s="52">
        <f>BAZA_AUTOCOLOR!C27</f>
        <v/>
      </c>
      <c r="D27" s="52">
        <f>BAZA_AUTOCOLOR!G27</f>
        <v/>
      </c>
      <c r="E27" s="52">
        <f>BAZA_AUTOCOLOR!K27</f>
        <v/>
      </c>
      <c r="F27" s="52">
        <f>BAZA_AUTOCOLOR!F27</f>
        <v/>
      </c>
      <c r="G27" s="52">
        <f>BAZA_AUTOCOLOR!L27</f>
        <v/>
      </c>
      <c r="H27" s="52">
        <f>BAZA_AUTOCOLOR!M27</f>
        <v/>
      </c>
      <c r="I27" s="52">
        <f>BAZA_AUTOCOLOR!J27</f>
        <v/>
      </c>
      <c r="J27" s="52">
        <f>BAZA_AUTOCOLOR!O27</f>
        <v/>
      </c>
      <c r="K27" s="52">
        <f>BAZA_AUTOCOLOR!H27</f>
        <v/>
      </c>
      <c r="L27" s="52">
        <f>BAZA_AUTOCOLOR!I27</f>
        <v/>
      </c>
      <c r="M27" s="52">
        <f>BAZA_AUTOCOLOR!R27</f>
        <v/>
      </c>
      <c r="N27" s="52">
        <f>BAZA_AUTOCOLOR!S27</f>
        <v/>
      </c>
    </row>
    <row r="28" ht="40" customHeight="1">
      <c r="A28" s="52">
        <f>BAZA_AUTOCOLOR!A28</f>
        <v/>
      </c>
      <c r="B28" s="52">
        <f>BAZA_AUTOCOLOR!B28</f>
        <v/>
      </c>
      <c r="C28" s="52">
        <f>BAZA_AUTOCOLOR!C28</f>
        <v/>
      </c>
      <c r="D28" s="52">
        <f>BAZA_AUTOCOLOR!G28</f>
        <v/>
      </c>
      <c r="E28" s="52">
        <f>BAZA_AUTOCOLOR!K28</f>
        <v/>
      </c>
      <c r="F28" s="52">
        <f>BAZA_AUTOCOLOR!F28</f>
        <v/>
      </c>
      <c r="G28" s="52">
        <f>BAZA_AUTOCOLOR!L28</f>
        <v/>
      </c>
      <c r="H28" s="52">
        <f>BAZA_AUTOCOLOR!M28</f>
        <v/>
      </c>
      <c r="I28" s="52">
        <f>BAZA_AUTOCOLOR!J28</f>
        <v/>
      </c>
      <c r="J28" s="52">
        <f>BAZA_AUTOCOLOR!O28</f>
        <v/>
      </c>
      <c r="K28" s="52">
        <f>BAZA_AUTOCOLOR!H28</f>
        <v/>
      </c>
      <c r="L28" s="52">
        <f>BAZA_AUTOCOLOR!I28</f>
        <v/>
      </c>
      <c r="M28" s="52">
        <f>BAZA_AUTOCOLOR!R28</f>
        <v/>
      </c>
      <c r="N28" s="52">
        <f>BAZA_AUTOCOLOR!S28</f>
        <v/>
      </c>
    </row>
    <row r="29" ht="40" customHeight="1">
      <c r="A29" s="52">
        <f>BAZA_AUTOCOLOR!A29</f>
        <v/>
      </c>
      <c r="B29" s="52">
        <f>BAZA_AUTOCOLOR!B29</f>
        <v/>
      </c>
      <c r="C29" s="52">
        <f>BAZA_AUTOCOLOR!C29</f>
        <v/>
      </c>
      <c r="D29" s="52">
        <f>BAZA_AUTOCOLOR!G29</f>
        <v/>
      </c>
      <c r="E29" s="52">
        <f>BAZA_AUTOCOLOR!K29</f>
        <v/>
      </c>
      <c r="F29" s="52">
        <f>BAZA_AUTOCOLOR!F29</f>
        <v/>
      </c>
      <c r="G29" s="52">
        <f>BAZA_AUTOCOLOR!L29</f>
        <v/>
      </c>
      <c r="H29" s="52">
        <f>BAZA_AUTOCOLOR!M29</f>
        <v/>
      </c>
      <c r="I29" s="52">
        <f>BAZA_AUTOCOLOR!J29</f>
        <v/>
      </c>
      <c r="J29" s="52">
        <f>BAZA_AUTOCOLOR!O29</f>
        <v/>
      </c>
      <c r="K29" s="52">
        <f>BAZA_AUTOCOLOR!H29</f>
        <v/>
      </c>
      <c r="L29" s="52">
        <f>BAZA_AUTOCOLOR!I29</f>
        <v/>
      </c>
      <c r="M29" s="52">
        <f>BAZA_AUTOCOLOR!R29</f>
        <v/>
      </c>
      <c r="N29" s="52">
        <f>BAZA_AUTOCOLOR!S29</f>
        <v/>
      </c>
    </row>
    <row r="30" ht="40" customHeight="1">
      <c r="A30" s="52">
        <f>BAZA_AUTOCOLOR!A30</f>
        <v/>
      </c>
      <c r="B30" s="52">
        <f>BAZA_AUTOCOLOR!B30</f>
        <v/>
      </c>
      <c r="C30" s="52">
        <f>BAZA_AUTOCOLOR!C30</f>
        <v/>
      </c>
      <c r="D30" s="52">
        <f>BAZA_AUTOCOLOR!G30</f>
        <v/>
      </c>
      <c r="E30" s="52">
        <f>BAZA_AUTOCOLOR!K30</f>
        <v/>
      </c>
      <c r="F30" s="52">
        <f>BAZA_AUTOCOLOR!F30</f>
        <v/>
      </c>
      <c r="G30" s="52">
        <f>BAZA_AUTOCOLOR!L30</f>
        <v/>
      </c>
      <c r="H30" s="52">
        <f>BAZA_AUTOCOLOR!M30</f>
        <v/>
      </c>
      <c r="I30" s="52">
        <f>BAZA_AUTOCOLOR!J30</f>
        <v/>
      </c>
      <c r="J30" s="52">
        <f>BAZA_AUTOCOLOR!O30</f>
        <v/>
      </c>
      <c r="K30" s="52">
        <f>BAZA_AUTOCOLOR!H30</f>
        <v/>
      </c>
      <c r="L30" s="52">
        <f>BAZA_AUTOCOLOR!I30</f>
        <v/>
      </c>
      <c r="M30" s="52">
        <f>BAZA_AUTOCOLOR!R30</f>
        <v/>
      </c>
      <c r="N30" s="52">
        <f>BAZA_AUTOCOLOR!S30</f>
        <v/>
      </c>
    </row>
    <row r="31" ht="40" customHeight="1">
      <c r="A31" s="52">
        <f>BAZA_AUTOCOLOR!A31</f>
        <v/>
      </c>
      <c r="B31" s="52">
        <f>BAZA_AUTOCOLOR!B31</f>
        <v/>
      </c>
      <c r="C31" s="52">
        <f>BAZA_AUTOCOLOR!C31</f>
        <v/>
      </c>
      <c r="D31" s="52">
        <f>BAZA_AUTOCOLOR!G31</f>
        <v/>
      </c>
      <c r="E31" s="52">
        <f>BAZA_AUTOCOLOR!K31</f>
        <v/>
      </c>
      <c r="F31" s="52">
        <f>BAZA_AUTOCOLOR!F31</f>
        <v/>
      </c>
      <c r="G31" s="52">
        <f>BAZA_AUTOCOLOR!L31</f>
        <v/>
      </c>
      <c r="H31" s="52">
        <f>BAZA_AUTOCOLOR!M31</f>
        <v/>
      </c>
      <c r="I31" s="52">
        <f>BAZA_AUTOCOLOR!J31</f>
        <v/>
      </c>
      <c r="J31" s="52">
        <f>BAZA_AUTOCOLOR!O31</f>
        <v/>
      </c>
      <c r="K31" s="52">
        <f>BAZA_AUTOCOLOR!H31</f>
        <v/>
      </c>
      <c r="L31" s="52">
        <f>BAZA_AUTOCOLOR!I31</f>
        <v/>
      </c>
      <c r="M31" s="52">
        <f>BAZA_AUTOCOLOR!R31</f>
        <v/>
      </c>
      <c r="N31" s="52">
        <f>BAZA_AUTOCOLOR!S31</f>
        <v/>
      </c>
    </row>
    <row r="32" ht="40" customHeight="1">
      <c r="A32" s="52">
        <f>BAZA_AUTOCOLOR!A32</f>
        <v/>
      </c>
      <c r="B32" s="52">
        <f>BAZA_AUTOCOLOR!B32</f>
        <v/>
      </c>
      <c r="C32" s="52">
        <f>BAZA_AUTOCOLOR!C32</f>
        <v/>
      </c>
      <c r="D32" s="52">
        <f>BAZA_AUTOCOLOR!G32</f>
        <v/>
      </c>
      <c r="E32" s="52">
        <f>BAZA_AUTOCOLOR!K32</f>
        <v/>
      </c>
      <c r="F32" s="52">
        <f>BAZA_AUTOCOLOR!F32</f>
        <v/>
      </c>
      <c r="G32" s="52">
        <f>BAZA_AUTOCOLOR!L32</f>
        <v/>
      </c>
      <c r="H32" s="52">
        <f>BAZA_AUTOCOLOR!M32</f>
        <v/>
      </c>
      <c r="I32" s="52">
        <f>BAZA_AUTOCOLOR!J32</f>
        <v/>
      </c>
      <c r="J32" s="52">
        <f>BAZA_AUTOCOLOR!O32</f>
        <v/>
      </c>
      <c r="K32" s="52">
        <f>BAZA_AUTOCOLOR!H32</f>
        <v/>
      </c>
      <c r="L32" s="52">
        <f>BAZA_AUTOCOLOR!I32</f>
        <v/>
      </c>
      <c r="M32" s="52">
        <f>BAZA_AUTOCOLOR!R32</f>
        <v/>
      </c>
      <c r="N32" s="52">
        <f>BAZA_AUTOCOLOR!S32</f>
        <v/>
      </c>
    </row>
    <row r="33" ht="40" customHeight="1">
      <c r="A33" s="52">
        <f>BAZA_AUTOCOLOR!A33</f>
        <v/>
      </c>
      <c r="B33" s="52">
        <f>BAZA_AUTOCOLOR!B33</f>
        <v/>
      </c>
      <c r="C33" s="52">
        <f>BAZA_AUTOCOLOR!C33</f>
        <v/>
      </c>
      <c r="D33" s="52">
        <f>BAZA_AUTOCOLOR!G33</f>
        <v/>
      </c>
      <c r="E33" s="52">
        <f>BAZA_AUTOCOLOR!K33</f>
        <v/>
      </c>
      <c r="F33" s="52">
        <f>BAZA_AUTOCOLOR!F33</f>
        <v/>
      </c>
      <c r="G33" s="52">
        <f>BAZA_AUTOCOLOR!L33</f>
        <v/>
      </c>
      <c r="H33" s="52">
        <f>BAZA_AUTOCOLOR!M33</f>
        <v/>
      </c>
      <c r="I33" s="52">
        <f>BAZA_AUTOCOLOR!J33</f>
        <v/>
      </c>
      <c r="J33" s="52">
        <f>BAZA_AUTOCOLOR!O33</f>
        <v/>
      </c>
      <c r="K33" s="52">
        <f>BAZA_AUTOCOLOR!H33</f>
        <v/>
      </c>
      <c r="L33" s="52">
        <f>BAZA_AUTOCOLOR!I33</f>
        <v/>
      </c>
      <c r="M33" s="52">
        <f>BAZA_AUTOCOLOR!R33</f>
        <v/>
      </c>
      <c r="N33" s="52">
        <f>BAZA_AUTOCOLOR!S33</f>
        <v/>
      </c>
    </row>
    <row r="34" ht="40" customHeight="1">
      <c r="A34" s="52">
        <f>BAZA_AUTOCOLOR!A34</f>
        <v/>
      </c>
      <c r="B34" s="52">
        <f>BAZA_AUTOCOLOR!B34</f>
        <v/>
      </c>
      <c r="C34" s="52">
        <f>BAZA_AUTOCOLOR!C34</f>
        <v/>
      </c>
      <c r="D34" s="52">
        <f>BAZA_AUTOCOLOR!G34</f>
        <v/>
      </c>
      <c r="E34" s="52">
        <f>BAZA_AUTOCOLOR!K34</f>
        <v/>
      </c>
      <c r="F34" s="52">
        <f>BAZA_AUTOCOLOR!F34</f>
        <v/>
      </c>
      <c r="G34" s="52">
        <f>BAZA_AUTOCOLOR!L34</f>
        <v/>
      </c>
      <c r="H34" s="52">
        <f>BAZA_AUTOCOLOR!M34</f>
        <v/>
      </c>
      <c r="I34" s="52">
        <f>BAZA_AUTOCOLOR!J34</f>
        <v/>
      </c>
      <c r="J34" s="52">
        <f>BAZA_AUTOCOLOR!O34</f>
        <v/>
      </c>
      <c r="K34" s="52">
        <f>BAZA_AUTOCOLOR!H34</f>
        <v/>
      </c>
      <c r="L34" s="52">
        <f>BAZA_AUTOCOLOR!I34</f>
        <v/>
      </c>
      <c r="M34" s="52">
        <f>BAZA_AUTOCOLOR!R34</f>
        <v/>
      </c>
      <c r="N34" s="52">
        <f>BAZA_AUTOCOLOR!S34</f>
        <v/>
      </c>
    </row>
    <row r="35" ht="40" customHeight="1">
      <c r="A35" s="52">
        <f>BAZA_AUTOCOLOR!A35</f>
        <v/>
      </c>
      <c r="B35" s="52">
        <f>BAZA_AUTOCOLOR!B35</f>
        <v/>
      </c>
      <c r="C35" s="52">
        <f>BAZA_AUTOCOLOR!C35</f>
        <v/>
      </c>
      <c r="D35" s="52">
        <f>BAZA_AUTOCOLOR!G35</f>
        <v/>
      </c>
      <c r="E35" s="52">
        <f>BAZA_AUTOCOLOR!K35</f>
        <v/>
      </c>
      <c r="F35" s="52">
        <f>BAZA_AUTOCOLOR!F35</f>
        <v/>
      </c>
      <c r="G35" s="52">
        <f>BAZA_AUTOCOLOR!L35</f>
        <v/>
      </c>
      <c r="H35" s="52">
        <f>BAZA_AUTOCOLOR!M35</f>
        <v/>
      </c>
      <c r="I35" s="52">
        <f>BAZA_AUTOCOLOR!J35</f>
        <v/>
      </c>
      <c r="J35" s="52">
        <f>BAZA_AUTOCOLOR!O35</f>
        <v/>
      </c>
      <c r="K35" s="52">
        <f>BAZA_AUTOCOLOR!H35</f>
        <v/>
      </c>
      <c r="L35" s="52">
        <f>BAZA_AUTOCOLOR!I35</f>
        <v/>
      </c>
      <c r="M35" s="52">
        <f>BAZA_AUTOCOLOR!R35</f>
        <v/>
      </c>
      <c r="N35" s="52">
        <f>BAZA_AUTOCOLOR!S35</f>
        <v/>
      </c>
    </row>
    <row r="36" ht="40" customHeight="1">
      <c r="A36" s="52">
        <f>BAZA_AUTOCOLOR!A36</f>
        <v/>
      </c>
      <c r="B36" s="52">
        <f>BAZA_AUTOCOLOR!B36</f>
        <v/>
      </c>
      <c r="C36" s="52">
        <f>BAZA_AUTOCOLOR!C36</f>
        <v/>
      </c>
      <c r="D36" s="52">
        <f>BAZA_AUTOCOLOR!G36</f>
        <v/>
      </c>
      <c r="E36" s="52">
        <f>BAZA_AUTOCOLOR!K36</f>
        <v/>
      </c>
      <c r="F36" s="52">
        <f>BAZA_AUTOCOLOR!F36</f>
        <v/>
      </c>
      <c r="G36" s="52">
        <f>BAZA_AUTOCOLOR!L36</f>
        <v/>
      </c>
      <c r="H36" s="52">
        <f>BAZA_AUTOCOLOR!M36</f>
        <v/>
      </c>
      <c r="I36" s="52">
        <f>BAZA_AUTOCOLOR!J36</f>
        <v/>
      </c>
      <c r="J36" s="52">
        <f>BAZA_AUTOCOLOR!O36</f>
        <v/>
      </c>
      <c r="K36" s="52">
        <f>BAZA_AUTOCOLOR!H36</f>
        <v/>
      </c>
      <c r="L36" s="52">
        <f>BAZA_AUTOCOLOR!I36</f>
        <v/>
      </c>
      <c r="M36" s="52">
        <f>BAZA_AUTOCOLOR!R36</f>
        <v/>
      </c>
      <c r="N36" s="52">
        <f>BAZA_AUTOCOLOR!S36</f>
        <v/>
      </c>
    </row>
    <row r="37" ht="40" customHeight="1">
      <c r="A37" s="52">
        <f>BAZA_AUTOCOLOR!A37</f>
        <v/>
      </c>
      <c r="B37" s="52">
        <f>BAZA_AUTOCOLOR!B37</f>
        <v/>
      </c>
      <c r="C37" s="52">
        <f>BAZA_AUTOCOLOR!C37</f>
        <v/>
      </c>
      <c r="D37" s="52">
        <f>BAZA_AUTOCOLOR!G37</f>
        <v/>
      </c>
      <c r="E37" s="52">
        <f>BAZA_AUTOCOLOR!K37</f>
        <v/>
      </c>
      <c r="F37" s="52">
        <f>BAZA_AUTOCOLOR!F37</f>
        <v/>
      </c>
      <c r="G37" s="52">
        <f>BAZA_AUTOCOLOR!L37</f>
        <v/>
      </c>
      <c r="H37" s="52">
        <f>BAZA_AUTOCOLOR!M37</f>
        <v/>
      </c>
      <c r="I37" s="52">
        <f>BAZA_AUTOCOLOR!J37</f>
        <v/>
      </c>
      <c r="J37" s="52">
        <f>BAZA_AUTOCOLOR!O37</f>
        <v/>
      </c>
      <c r="K37" s="52">
        <f>BAZA_AUTOCOLOR!H37</f>
        <v/>
      </c>
      <c r="L37" s="52">
        <f>BAZA_AUTOCOLOR!I37</f>
        <v/>
      </c>
      <c r="M37" s="52">
        <f>BAZA_AUTOCOLOR!R37</f>
        <v/>
      </c>
      <c r="N37" s="52">
        <f>BAZA_AUTOCOLOR!S37</f>
        <v/>
      </c>
    </row>
    <row r="38" ht="40" customHeight="1">
      <c r="A38" s="52">
        <f>BAZA_AUTOCOLOR!A38</f>
        <v/>
      </c>
      <c r="B38" s="52">
        <f>BAZA_AUTOCOLOR!B38</f>
        <v/>
      </c>
      <c r="C38" s="52">
        <f>BAZA_AUTOCOLOR!C38</f>
        <v/>
      </c>
      <c r="D38" s="52">
        <f>BAZA_AUTOCOLOR!G38</f>
        <v/>
      </c>
      <c r="E38" s="52">
        <f>BAZA_AUTOCOLOR!K38</f>
        <v/>
      </c>
      <c r="F38" s="52">
        <f>BAZA_AUTOCOLOR!F38</f>
        <v/>
      </c>
      <c r="G38" s="52">
        <f>BAZA_AUTOCOLOR!L38</f>
        <v/>
      </c>
      <c r="H38" s="52">
        <f>BAZA_AUTOCOLOR!M38</f>
        <v/>
      </c>
      <c r="I38" s="52">
        <f>BAZA_AUTOCOLOR!J38</f>
        <v/>
      </c>
      <c r="J38" s="52">
        <f>BAZA_AUTOCOLOR!O38</f>
        <v/>
      </c>
      <c r="K38" s="52">
        <f>BAZA_AUTOCOLOR!H38</f>
        <v/>
      </c>
      <c r="L38" s="52">
        <f>BAZA_AUTOCOLOR!I38</f>
        <v/>
      </c>
      <c r="M38" s="52">
        <f>BAZA_AUTOCOLOR!R38</f>
        <v/>
      </c>
      <c r="N38" s="52">
        <f>BAZA_AUTOCOLOR!S38</f>
        <v/>
      </c>
    </row>
    <row r="39" ht="40" customHeight="1">
      <c r="A39" s="52">
        <f>BAZA_AUTOCOLOR!A39</f>
        <v/>
      </c>
      <c r="B39" s="52">
        <f>BAZA_AUTOCOLOR!B39</f>
        <v/>
      </c>
      <c r="C39" s="52">
        <f>BAZA_AUTOCOLOR!C39</f>
        <v/>
      </c>
      <c r="D39" s="52">
        <f>BAZA_AUTOCOLOR!G39</f>
        <v/>
      </c>
      <c r="E39" s="52">
        <f>BAZA_AUTOCOLOR!K39</f>
        <v/>
      </c>
      <c r="F39" s="52">
        <f>BAZA_AUTOCOLOR!F39</f>
        <v/>
      </c>
      <c r="G39" s="52">
        <f>BAZA_AUTOCOLOR!L39</f>
        <v/>
      </c>
      <c r="H39" s="52">
        <f>BAZA_AUTOCOLOR!M39</f>
        <v/>
      </c>
      <c r="I39" s="52">
        <f>BAZA_AUTOCOLOR!J39</f>
        <v/>
      </c>
      <c r="J39" s="52">
        <f>BAZA_AUTOCOLOR!O39</f>
        <v/>
      </c>
      <c r="K39" s="52">
        <f>BAZA_AUTOCOLOR!H39</f>
        <v/>
      </c>
      <c r="L39" s="52">
        <f>BAZA_AUTOCOLOR!I39</f>
        <v/>
      </c>
      <c r="M39" s="52">
        <f>BAZA_AUTOCOLOR!R39</f>
        <v/>
      </c>
      <c r="N39" s="52">
        <f>BAZA_AUTOCOLOR!S39</f>
        <v/>
      </c>
    </row>
    <row r="40" ht="40" customHeight="1">
      <c r="A40" s="52">
        <f>BAZA_AUTOCOLOR!A40</f>
        <v/>
      </c>
      <c r="B40" s="52">
        <f>BAZA_AUTOCOLOR!B40</f>
        <v/>
      </c>
      <c r="C40" s="52">
        <f>BAZA_AUTOCOLOR!C40</f>
        <v/>
      </c>
      <c r="D40" s="52">
        <f>BAZA_AUTOCOLOR!G40</f>
        <v/>
      </c>
      <c r="E40" s="52">
        <f>BAZA_AUTOCOLOR!K40</f>
        <v/>
      </c>
      <c r="F40" s="52">
        <f>BAZA_AUTOCOLOR!F40</f>
        <v/>
      </c>
      <c r="G40" s="52">
        <f>BAZA_AUTOCOLOR!L40</f>
        <v/>
      </c>
      <c r="H40" s="52">
        <f>BAZA_AUTOCOLOR!M40</f>
        <v/>
      </c>
      <c r="I40" s="52">
        <f>BAZA_AUTOCOLOR!J40</f>
        <v/>
      </c>
      <c r="J40" s="52">
        <f>BAZA_AUTOCOLOR!O40</f>
        <v/>
      </c>
      <c r="K40" s="52">
        <f>BAZA_AUTOCOLOR!H40</f>
        <v/>
      </c>
      <c r="L40" s="52">
        <f>BAZA_AUTOCOLOR!I40</f>
        <v/>
      </c>
      <c r="M40" s="52">
        <f>BAZA_AUTOCOLOR!R40</f>
        <v/>
      </c>
      <c r="N40" s="52">
        <f>BAZA_AUTOCOLOR!S40</f>
        <v/>
      </c>
    </row>
    <row r="41" ht="40" customHeight="1">
      <c r="A41" s="52">
        <f>BAZA_AUTOCOLOR!A41</f>
        <v/>
      </c>
      <c r="B41" s="52">
        <f>BAZA_AUTOCOLOR!B41</f>
        <v/>
      </c>
      <c r="C41" s="52">
        <f>BAZA_AUTOCOLOR!C41</f>
        <v/>
      </c>
      <c r="D41" s="52">
        <f>BAZA_AUTOCOLOR!G41</f>
        <v/>
      </c>
      <c r="E41" s="52">
        <f>BAZA_AUTOCOLOR!K41</f>
        <v/>
      </c>
      <c r="F41" s="52">
        <f>BAZA_AUTOCOLOR!F41</f>
        <v/>
      </c>
      <c r="G41" s="52">
        <f>BAZA_AUTOCOLOR!L41</f>
        <v/>
      </c>
      <c r="H41" s="52">
        <f>BAZA_AUTOCOLOR!M41</f>
        <v/>
      </c>
      <c r="I41" s="52">
        <f>BAZA_AUTOCOLOR!J41</f>
        <v/>
      </c>
      <c r="J41" s="52">
        <f>BAZA_AUTOCOLOR!O41</f>
        <v/>
      </c>
      <c r="K41" s="52">
        <f>BAZA_AUTOCOLOR!H41</f>
        <v/>
      </c>
      <c r="L41" s="52">
        <f>BAZA_AUTOCOLOR!I41</f>
        <v/>
      </c>
      <c r="M41" s="52">
        <f>BAZA_AUTOCOLOR!R41</f>
        <v/>
      </c>
      <c r="N41" s="52">
        <f>BAZA_AUTOCOLOR!S41</f>
        <v/>
      </c>
    </row>
    <row r="42" ht="40" customHeight="1">
      <c r="A42" s="52">
        <f>BAZA_AUTOCOLOR!A42</f>
        <v/>
      </c>
      <c r="B42" s="52">
        <f>BAZA_AUTOCOLOR!B42</f>
        <v/>
      </c>
      <c r="C42" s="52">
        <f>BAZA_AUTOCOLOR!C42</f>
        <v/>
      </c>
      <c r="D42" s="52">
        <f>BAZA_AUTOCOLOR!G42</f>
        <v/>
      </c>
      <c r="E42" s="52">
        <f>BAZA_AUTOCOLOR!K42</f>
        <v/>
      </c>
      <c r="F42" s="52">
        <f>BAZA_AUTOCOLOR!F42</f>
        <v/>
      </c>
      <c r="G42" s="52">
        <f>BAZA_AUTOCOLOR!L42</f>
        <v/>
      </c>
      <c r="H42" s="52">
        <f>BAZA_AUTOCOLOR!M42</f>
        <v/>
      </c>
      <c r="I42" s="52">
        <f>BAZA_AUTOCOLOR!J42</f>
        <v/>
      </c>
      <c r="J42" s="52">
        <f>BAZA_AUTOCOLOR!O42</f>
        <v/>
      </c>
      <c r="K42" s="52">
        <f>BAZA_AUTOCOLOR!H42</f>
        <v/>
      </c>
      <c r="L42" s="52">
        <f>BAZA_AUTOCOLOR!I42</f>
        <v/>
      </c>
      <c r="M42" s="52">
        <f>BAZA_AUTOCOLOR!R42</f>
        <v/>
      </c>
      <c r="N42" s="52">
        <f>BAZA_AUTOCOLOR!S42</f>
        <v/>
      </c>
    </row>
    <row r="43" ht="40" customHeight="1">
      <c r="A43" s="52">
        <f>BAZA_AUTOCOLOR!A43</f>
        <v/>
      </c>
      <c r="B43" s="52">
        <f>BAZA_AUTOCOLOR!B43</f>
        <v/>
      </c>
      <c r="C43" s="52">
        <f>BAZA_AUTOCOLOR!C43</f>
        <v/>
      </c>
      <c r="D43" s="52">
        <f>BAZA_AUTOCOLOR!G43</f>
        <v/>
      </c>
      <c r="E43" s="52">
        <f>BAZA_AUTOCOLOR!K43</f>
        <v/>
      </c>
      <c r="F43" s="52">
        <f>BAZA_AUTOCOLOR!F43</f>
        <v/>
      </c>
      <c r="G43" s="52">
        <f>BAZA_AUTOCOLOR!L43</f>
        <v/>
      </c>
      <c r="H43" s="52">
        <f>BAZA_AUTOCOLOR!M43</f>
        <v/>
      </c>
      <c r="I43" s="52">
        <f>BAZA_AUTOCOLOR!J43</f>
        <v/>
      </c>
      <c r="J43" s="52">
        <f>BAZA_AUTOCOLOR!O43</f>
        <v/>
      </c>
      <c r="K43" s="52">
        <f>BAZA_AUTOCOLOR!H43</f>
        <v/>
      </c>
      <c r="L43" s="52">
        <f>BAZA_AUTOCOLOR!I43</f>
        <v/>
      </c>
      <c r="M43" s="52">
        <f>BAZA_AUTOCOLOR!R43</f>
        <v/>
      </c>
      <c r="N43" s="52">
        <f>BAZA_AUTOCOLOR!S43</f>
        <v/>
      </c>
    </row>
    <row r="44" ht="40" customHeight="1">
      <c r="A44" s="52">
        <f>BAZA_AUTOCOLOR!A44</f>
        <v/>
      </c>
      <c r="B44" s="52">
        <f>BAZA_AUTOCOLOR!B44</f>
        <v/>
      </c>
      <c r="C44" s="52">
        <f>BAZA_AUTOCOLOR!C44</f>
        <v/>
      </c>
      <c r="D44" s="52">
        <f>BAZA_AUTOCOLOR!G44</f>
        <v/>
      </c>
      <c r="E44" s="52">
        <f>BAZA_AUTOCOLOR!K44</f>
        <v/>
      </c>
      <c r="F44" s="52">
        <f>BAZA_AUTOCOLOR!F44</f>
        <v/>
      </c>
      <c r="G44" s="52">
        <f>BAZA_AUTOCOLOR!L44</f>
        <v/>
      </c>
      <c r="H44" s="52">
        <f>BAZA_AUTOCOLOR!M44</f>
        <v/>
      </c>
      <c r="I44" s="52">
        <f>BAZA_AUTOCOLOR!J44</f>
        <v/>
      </c>
      <c r="J44" s="52">
        <f>BAZA_AUTOCOLOR!O44</f>
        <v/>
      </c>
      <c r="K44" s="52">
        <f>BAZA_AUTOCOLOR!H44</f>
        <v/>
      </c>
      <c r="L44" s="52">
        <f>BAZA_AUTOCOLOR!I44</f>
        <v/>
      </c>
      <c r="M44" s="52">
        <f>BAZA_AUTOCOLOR!R44</f>
        <v/>
      </c>
      <c r="N44" s="52">
        <f>BAZA_AUTOCOLOR!S44</f>
        <v/>
      </c>
    </row>
    <row r="45" ht="40" customHeight="1">
      <c r="A45" s="52">
        <f>BAZA_AUTOCOLOR!A45</f>
        <v/>
      </c>
      <c r="B45" s="52">
        <f>BAZA_AUTOCOLOR!B45</f>
        <v/>
      </c>
      <c r="C45" s="52">
        <f>BAZA_AUTOCOLOR!C45</f>
        <v/>
      </c>
      <c r="D45" s="52">
        <f>BAZA_AUTOCOLOR!G45</f>
        <v/>
      </c>
      <c r="E45" s="52">
        <f>BAZA_AUTOCOLOR!K45</f>
        <v/>
      </c>
      <c r="F45" s="52">
        <f>BAZA_AUTOCOLOR!F45</f>
        <v/>
      </c>
      <c r="G45" s="52">
        <f>BAZA_AUTOCOLOR!L45</f>
        <v/>
      </c>
      <c r="H45" s="52">
        <f>BAZA_AUTOCOLOR!M45</f>
        <v/>
      </c>
      <c r="I45" s="52">
        <f>BAZA_AUTOCOLOR!J45</f>
        <v/>
      </c>
      <c r="J45" s="52">
        <f>BAZA_AUTOCOLOR!O45</f>
        <v/>
      </c>
      <c r="K45" s="52">
        <f>BAZA_AUTOCOLOR!H45</f>
        <v/>
      </c>
      <c r="L45" s="52">
        <f>BAZA_AUTOCOLOR!I45</f>
        <v/>
      </c>
      <c r="M45" s="52">
        <f>BAZA_AUTOCOLOR!R45</f>
        <v/>
      </c>
      <c r="N45" s="52">
        <f>BAZA_AUTOCOLOR!S45</f>
        <v/>
      </c>
    </row>
    <row r="46" ht="40" customHeight="1">
      <c r="A46" s="52">
        <f>BAZA_AUTOCOLOR!A46</f>
        <v/>
      </c>
      <c r="B46" s="52">
        <f>BAZA_AUTOCOLOR!B46</f>
        <v/>
      </c>
      <c r="C46" s="52">
        <f>BAZA_AUTOCOLOR!C46</f>
        <v/>
      </c>
      <c r="D46" s="52">
        <f>BAZA_AUTOCOLOR!G46</f>
        <v/>
      </c>
      <c r="E46" s="52">
        <f>BAZA_AUTOCOLOR!K46</f>
        <v/>
      </c>
      <c r="F46" s="52">
        <f>BAZA_AUTOCOLOR!F46</f>
        <v/>
      </c>
      <c r="G46" s="52">
        <f>BAZA_AUTOCOLOR!L46</f>
        <v/>
      </c>
      <c r="H46" s="52">
        <f>BAZA_AUTOCOLOR!M46</f>
        <v/>
      </c>
      <c r="I46" s="52">
        <f>BAZA_AUTOCOLOR!J46</f>
        <v/>
      </c>
      <c r="J46" s="52">
        <f>BAZA_AUTOCOLOR!O46</f>
        <v/>
      </c>
      <c r="K46" s="52">
        <f>BAZA_AUTOCOLOR!H46</f>
        <v/>
      </c>
      <c r="L46" s="52">
        <f>BAZA_AUTOCOLOR!I46</f>
        <v/>
      </c>
      <c r="M46" s="52">
        <f>BAZA_AUTOCOLOR!R46</f>
        <v/>
      </c>
      <c r="N46" s="52">
        <f>BAZA_AUTOCOLOR!S46</f>
        <v/>
      </c>
    </row>
    <row r="47" ht="40" customHeight="1">
      <c r="A47" s="52">
        <f>BAZA_AUTOCOLOR!A47</f>
        <v/>
      </c>
      <c r="B47" s="52">
        <f>BAZA_AUTOCOLOR!B47</f>
        <v/>
      </c>
      <c r="C47" s="52">
        <f>BAZA_AUTOCOLOR!C47</f>
        <v/>
      </c>
      <c r="D47" s="52">
        <f>BAZA_AUTOCOLOR!G47</f>
        <v/>
      </c>
      <c r="E47" s="52">
        <f>BAZA_AUTOCOLOR!K47</f>
        <v/>
      </c>
      <c r="F47" s="52">
        <f>BAZA_AUTOCOLOR!F47</f>
        <v/>
      </c>
      <c r="G47" s="52">
        <f>BAZA_AUTOCOLOR!L47</f>
        <v/>
      </c>
      <c r="H47" s="52">
        <f>BAZA_AUTOCOLOR!M47</f>
        <v/>
      </c>
      <c r="I47" s="52">
        <f>BAZA_AUTOCOLOR!J47</f>
        <v/>
      </c>
      <c r="J47" s="52">
        <f>BAZA_AUTOCOLOR!O47</f>
        <v/>
      </c>
      <c r="K47" s="52">
        <f>BAZA_AUTOCOLOR!H47</f>
        <v/>
      </c>
      <c r="L47" s="52">
        <f>BAZA_AUTOCOLOR!I47</f>
        <v/>
      </c>
      <c r="M47" s="52">
        <f>BAZA_AUTOCOLOR!R47</f>
        <v/>
      </c>
      <c r="N47" s="52">
        <f>BAZA_AUTOCOLOR!S47</f>
        <v/>
      </c>
    </row>
    <row r="48" ht="40" customHeight="1">
      <c r="A48" s="52">
        <f>BAZA_AUTOCOLOR!A48</f>
        <v/>
      </c>
      <c r="B48" s="52">
        <f>BAZA_AUTOCOLOR!B48</f>
        <v/>
      </c>
      <c r="C48" s="52">
        <f>BAZA_AUTOCOLOR!C48</f>
        <v/>
      </c>
      <c r="D48" s="52">
        <f>BAZA_AUTOCOLOR!G48</f>
        <v/>
      </c>
      <c r="E48" s="52">
        <f>BAZA_AUTOCOLOR!K48</f>
        <v/>
      </c>
      <c r="F48" s="52">
        <f>BAZA_AUTOCOLOR!F48</f>
        <v/>
      </c>
      <c r="G48" s="52">
        <f>BAZA_AUTOCOLOR!L48</f>
        <v/>
      </c>
      <c r="H48" s="52">
        <f>BAZA_AUTOCOLOR!M48</f>
        <v/>
      </c>
      <c r="I48" s="52">
        <f>BAZA_AUTOCOLOR!J48</f>
        <v/>
      </c>
      <c r="J48" s="52">
        <f>BAZA_AUTOCOLOR!O48</f>
        <v/>
      </c>
      <c r="K48" s="52">
        <f>BAZA_AUTOCOLOR!H48</f>
        <v/>
      </c>
      <c r="L48" s="52">
        <f>BAZA_AUTOCOLOR!I48</f>
        <v/>
      </c>
      <c r="M48" s="52">
        <f>BAZA_AUTOCOLOR!R48</f>
        <v/>
      </c>
      <c r="N48" s="52">
        <f>BAZA_AUTOCOLOR!S48</f>
        <v/>
      </c>
    </row>
    <row r="49" ht="40" customHeight="1">
      <c r="A49" s="52">
        <f>BAZA_AUTOCOLOR!A49</f>
        <v/>
      </c>
      <c r="B49" s="52">
        <f>BAZA_AUTOCOLOR!B49</f>
        <v/>
      </c>
      <c r="C49" s="52">
        <f>BAZA_AUTOCOLOR!C49</f>
        <v/>
      </c>
      <c r="D49" s="52">
        <f>BAZA_AUTOCOLOR!G49</f>
        <v/>
      </c>
      <c r="E49" s="52">
        <f>BAZA_AUTOCOLOR!K49</f>
        <v/>
      </c>
      <c r="F49" s="52">
        <f>BAZA_AUTOCOLOR!F49</f>
        <v/>
      </c>
      <c r="G49" s="52">
        <f>BAZA_AUTOCOLOR!L49</f>
        <v/>
      </c>
      <c r="H49" s="52">
        <f>BAZA_AUTOCOLOR!M49</f>
        <v/>
      </c>
      <c r="I49" s="52">
        <f>BAZA_AUTOCOLOR!J49</f>
        <v/>
      </c>
      <c r="J49" s="52">
        <f>BAZA_AUTOCOLOR!O49</f>
        <v/>
      </c>
      <c r="K49" s="52">
        <f>BAZA_AUTOCOLOR!H49</f>
        <v/>
      </c>
      <c r="L49" s="52">
        <f>BAZA_AUTOCOLOR!I49</f>
        <v/>
      </c>
      <c r="M49" s="52">
        <f>BAZA_AUTOCOLOR!R49</f>
        <v/>
      </c>
      <c r="N49" s="52">
        <f>BAZA_AUTOCOLOR!S49</f>
        <v/>
      </c>
    </row>
    <row r="50" ht="40" customHeight="1">
      <c r="A50" s="52">
        <f>BAZA_AUTOCOLOR!A50</f>
        <v/>
      </c>
      <c r="B50" s="52">
        <f>BAZA_AUTOCOLOR!B50</f>
        <v/>
      </c>
      <c r="C50" s="52">
        <f>BAZA_AUTOCOLOR!C50</f>
        <v/>
      </c>
      <c r="D50" s="52">
        <f>BAZA_AUTOCOLOR!G50</f>
        <v/>
      </c>
      <c r="E50" s="52">
        <f>BAZA_AUTOCOLOR!K50</f>
        <v/>
      </c>
      <c r="F50" s="52">
        <f>BAZA_AUTOCOLOR!F50</f>
        <v/>
      </c>
      <c r="G50" s="52">
        <f>BAZA_AUTOCOLOR!L50</f>
        <v/>
      </c>
      <c r="H50" s="52">
        <f>BAZA_AUTOCOLOR!M50</f>
        <v/>
      </c>
      <c r="I50" s="52">
        <f>BAZA_AUTOCOLOR!J50</f>
        <v/>
      </c>
      <c r="J50" s="52">
        <f>BAZA_AUTOCOLOR!O50</f>
        <v/>
      </c>
      <c r="K50" s="52">
        <f>BAZA_AUTOCOLOR!H50</f>
        <v/>
      </c>
      <c r="L50" s="52">
        <f>BAZA_AUTOCOLOR!I50</f>
        <v/>
      </c>
      <c r="M50" s="52">
        <f>BAZA_AUTOCOLOR!R50</f>
        <v/>
      </c>
      <c r="N50" s="52">
        <f>BAZA_AUTOCOLOR!S50</f>
        <v/>
      </c>
    </row>
    <row r="51" ht="40" customHeight="1">
      <c r="A51" s="52">
        <f>BAZA_AUTOCOLOR!A51</f>
        <v/>
      </c>
      <c r="B51" s="52">
        <f>BAZA_AUTOCOLOR!B51</f>
        <v/>
      </c>
      <c r="C51" s="52">
        <f>BAZA_AUTOCOLOR!C51</f>
        <v/>
      </c>
      <c r="D51" s="52">
        <f>BAZA_AUTOCOLOR!G51</f>
        <v/>
      </c>
      <c r="E51" s="52">
        <f>BAZA_AUTOCOLOR!K51</f>
        <v/>
      </c>
      <c r="F51" s="52">
        <f>BAZA_AUTOCOLOR!F51</f>
        <v/>
      </c>
      <c r="G51" s="52">
        <f>BAZA_AUTOCOLOR!L51</f>
        <v/>
      </c>
      <c r="H51" s="52">
        <f>BAZA_AUTOCOLOR!M51</f>
        <v/>
      </c>
      <c r="I51" s="52">
        <f>BAZA_AUTOCOLOR!J51</f>
        <v/>
      </c>
      <c r="J51" s="52">
        <f>BAZA_AUTOCOLOR!O51</f>
        <v/>
      </c>
      <c r="K51" s="52">
        <f>BAZA_AUTOCOLOR!H51</f>
        <v/>
      </c>
      <c r="L51" s="52">
        <f>BAZA_AUTOCOLOR!I51</f>
        <v/>
      </c>
      <c r="M51" s="52">
        <f>BAZA_AUTOCOLOR!R51</f>
        <v/>
      </c>
      <c r="N51" s="52">
        <f>BAZA_AUTOCOLOR!S51</f>
        <v/>
      </c>
    </row>
    <row r="52" ht="40" customHeight="1">
      <c r="A52" s="52">
        <f>BAZA_AUTOCOLOR!A52</f>
        <v/>
      </c>
      <c r="B52" s="52">
        <f>BAZA_AUTOCOLOR!B52</f>
        <v/>
      </c>
      <c r="C52" s="52">
        <f>BAZA_AUTOCOLOR!C52</f>
        <v/>
      </c>
      <c r="D52" s="52">
        <f>BAZA_AUTOCOLOR!G52</f>
        <v/>
      </c>
      <c r="E52" s="52">
        <f>BAZA_AUTOCOLOR!K52</f>
        <v/>
      </c>
      <c r="F52" s="52">
        <f>BAZA_AUTOCOLOR!F52</f>
        <v/>
      </c>
      <c r="G52" s="52">
        <f>BAZA_AUTOCOLOR!L52</f>
        <v/>
      </c>
      <c r="H52" s="52">
        <f>BAZA_AUTOCOLOR!M52</f>
        <v/>
      </c>
      <c r="I52" s="52">
        <f>BAZA_AUTOCOLOR!J52</f>
        <v/>
      </c>
      <c r="J52" s="52">
        <f>BAZA_AUTOCOLOR!O52</f>
        <v/>
      </c>
      <c r="K52" s="52">
        <f>BAZA_AUTOCOLOR!H52</f>
        <v/>
      </c>
      <c r="L52" s="52">
        <f>BAZA_AUTOCOLOR!I52</f>
        <v/>
      </c>
      <c r="M52" s="52">
        <f>BAZA_AUTOCOLOR!R52</f>
        <v/>
      </c>
      <c r="N52" s="52">
        <f>BAZA_AUTOCOLOR!S52</f>
        <v/>
      </c>
    </row>
    <row r="53" ht="40" customHeight="1">
      <c r="A53" s="52">
        <f>BAZA_AUTOCOLOR!A53</f>
        <v/>
      </c>
      <c r="B53" s="52">
        <f>BAZA_AUTOCOLOR!B53</f>
        <v/>
      </c>
      <c r="C53" s="52">
        <f>BAZA_AUTOCOLOR!C53</f>
        <v/>
      </c>
      <c r="D53" s="52">
        <f>BAZA_AUTOCOLOR!G53</f>
        <v/>
      </c>
      <c r="E53" s="52">
        <f>BAZA_AUTOCOLOR!K53</f>
        <v/>
      </c>
      <c r="F53" s="52">
        <f>BAZA_AUTOCOLOR!F53</f>
        <v/>
      </c>
      <c r="G53" s="52">
        <f>BAZA_AUTOCOLOR!L53</f>
        <v/>
      </c>
      <c r="H53" s="52">
        <f>BAZA_AUTOCOLOR!M53</f>
        <v/>
      </c>
      <c r="I53" s="52">
        <f>BAZA_AUTOCOLOR!J53</f>
        <v/>
      </c>
      <c r="J53" s="52">
        <f>BAZA_AUTOCOLOR!O53</f>
        <v/>
      </c>
      <c r="K53" s="52">
        <f>BAZA_AUTOCOLOR!H53</f>
        <v/>
      </c>
      <c r="L53" s="52">
        <f>BAZA_AUTOCOLOR!I53</f>
        <v/>
      </c>
      <c r="M53" s="52">
        <f>BAZA_AUTOCOLOR!R53</f>
        <v/>
      </c>
      <c r="N53" s="52">
        <f>BAZA_AUTOCOLOR!S53</f>
        <v/>
      </c>
    </row>
    <row r="54" ht="40" customHeight="1">
      <c r="A54" s="52">
        <f>BAZA_AUTOCOLOR!A54</f>
        <v/>
      </c>
      <c r="B54" s="52">
        <f>BAZA_AUTOCOLOR!B54</f>
        <v/>
      </c>
      <c r="C54" s="52">
        <f>BAZA_AUTOCOLOR!C54</f>
        <v/>
      </c>
      <c r="D54" s="52">
        <f>BAZA_AUTOCOLOR!G54</f>
        <v/>
      </c>
      <c r="E54" s="52">
        <f>BAZA_AUTOCOLOR!K54</f>
        <v/>
      </c>
      <c r="F54" s="52">
        <f>BAZA_AUTOCOLOR!F54</f>
        <v/>
      </c>
      <c r="G54" s="52">
        <f>BAZA_AUTOCOLOR!L54</f>
        <v/>
      </c>
      <c r="H54" s="52">
        <f>BAZA_AUTOCOLOR!M54</f>
        <v/>
      </c>
      <c r="I54" s="52">
        <f>BAZA_AUTOCOLOR!J54</f>
        <v/>
      </c>
      <c r="J54" s="52">
        <f>BAZA_AUTOCOLOR!O54</f>
        <v/>
      </c>
      <c r="K54" s="52">
        <f>BAZA_AUTOCOLOR!H54</f>
        <v/>
      </c>
      <c r="L54" s="52">
        <f>BAZA_AUTOCOLOR!I54</f>
        <v/>
      </c>
      <c r="M54" s="52">
        <f>BAZA_AUTOCOLOR!R54</f>
        <v/>
      </c>
      <c r="N54" s="52">
        <f>BAZA_AUTOCOLOR!S54</f>
        <v/>
      </c>
    </row>
    <row r="55" ht="40" customHeight="1">
      <c r="A55" s="52">
        <f>BAZA_AUTOCOLOR!A55</f>
        <v/>
      </c>
      <c r="B55" s="52">
        <f>BAZA_AUTOCOLOR!B55</f>
        <v/>
      </c>
      <c r="C55" s="52">
        <f>BAZA_AUTOCOLOR!C55</f>
        <v/>
      </c>
      <c r="D55" s="52">
        <f>BAZA_AUTOCOLOR!G55</f>
        <v/>
      </c>
      <c r="E55" s="52">
        <f>BAZA_AUTOCOLOR!K55</f>
        <v/>
      </c>
      <c r="F55" s="52">
        <f>BAZA_AUTOCOLOR!F55</f>
        <v/>
      </c>
      <c r="G55" s="52">
        <f>BAZA_AUTOCOLOR!L55</f>
        <v/>
      </c>
      <c r="H55" s="52">
        <f>BAZA_AUTOCOLOR!M55</f>
        <v/>
      </c>
      <c r="I55" s="52">
        <f>BAZA_AUTOCOLOR!J55</f>
        <v/>
      </c>
      <c r="J55" s="52">
        <f>BAZA_AUTOCOLOR!O55</f>
        <v/>
      </c>
      <c r="K55" s="52">
        <f>BAZA_AUTOCOLOR!H55</f>
        <v/>
      </c>
      <c r="L55" s="52">
        <f>BAZA_AUTOCOLOR!I55</f>
        <v/>
      </c>
      <c r="M55" s="52">
        <f>BAZA_AUTOCOLOR!R55</f>
        <v/>
      </c>
      <c r="N55" s="52">
        <f>BAZA_AUTOCOLOR!S55</f>
        <v/>
      </c>
    </row>
    <row r="56" ht="40" customHeight="1">
      <c r="A56" s="52">
        <f>BAZA_AUTOCOLOR!A56</f>
        <v/>
      </c>
      <c r="B56" s="52">
        <f>BAZA_AUTOCOLOR!B56</f>
        <v/>
      </c>
      <c r="C56" s="52">
        <f>BAZA_AUTOCOLOR!C56</f>
        <v/>
      </c>
      <c r="D56" s="52">
        <f>BAZA_AUTOCOLOR!G56</f>
        <v/>
      </c>
      <c r="E56" s="52">
        <f>BAZA_AUTOCOLOR!K56</f>
        <v/>
      </c>
      <c r="F56" s="52">
        <f>BAZA_AUTOCOLOR!F56</f>
        <v/>
      </c>
      <c r="G56" s="52">
        <f>BAZA_AUTOCOLOR!L56</f>
        <v/>
      </c>
      <c r="H56" s="52">
        <f>BAZA_AUTOCOLOR!M56</f>
        <v/>
      </c>
      <c r="I56" s="52">
        <f>BAZA_AUTOCOLOR!J56</f>
        <v/>
      </c>
      <c r="J56" s="52">
        <f>BAZA_AUTOCOLOR!O56</f>
        <v/>
      </c>
      <c r="K56" s="52">
        <f>BAZA_AUTOCOLOR!H56</f>
        <v/>
      </c>
      <c r="L56" s="52">
        <f>BAZA_AUTOCOLOR!I56</f>
        <v/>
      </c>
      <c r="M56" s="52">
        <f>BAZA_AUTOCOLOR!R56</f>
        <v/>
      </c>
      <c r="N56" s="52">
        <f>BAZA_AUTOCOLOR!S56</f>
        <v/>
      </c>
    </row>
    <row r="57" ht="40" customHeight="1">
      <c r="A57" s="52">
        <f>BAZA_AUTOCOLOR!A57</f>
        <v/>
      </c>
      <c r="B57" s="52">
        <f>BAZA_AUTOCOLOR!B57</f>
        <v/>
      </c>
      <c r="C57" s="52">
        <f>BAZA_AUTOCOLOR!C57</f>
        <v/>
      </c>
      <c r="D57" s="52">
        <f>BAZA_AUTOCOLOR!G57</f>
        <v/>
      </c>
      <c r="E57" s="52">
        <f>BAZA_AUTOCOLOR!K57</f>
        <v/>
      </c>
      <c r="F57" s="52">
        <f>BAZA_AUTOCOLOR!F57</f>
        <v/>
      </c>
      <c r="G57" s="52">
        <f>BAZA_AUTOCOLOR!L57</f>
        <v/>
      </c>
      <c r="H57" s="52">
        <f>BAZA_AUTOCOLOR!M57</f>
        <v/>
      </c>
      <c r="I57" s="52">
        <f>BAZA_AUTOCOLOR!J57</f>
        <v/>
      </c>
      <c r="J57" s="52">
        <f>BAZA_AUTOCOLOR!O57</f>
        <v/>
      </c>
      <c r="K57" s="52">
        <f>BAZA_AUTOCOLOR!H57</f>
        <v/>
      </c>
      <c r="L57" s="52">
        <f>BAZA_AUTOCOLOR!I57</f>
        <v/>
      </c>
      <c r="M57" s="52">
        <f>BAZA_AUTOCOLOR!R57</f>
        <v/>
      </c>
      <c r="N57" s="52">
        <f>BAZA_AUTOCOLOR!S57</f>
        <v/>
      </c>
    </row>
    <row r="58" ht="40" customHeight="1">
      <c r="A58" s="52">
        <f>BAZA_AUTOCOLOR!A58</f>
        <v/>
      </c>
      <c r="B58" s="52">
        <f>BAZA_AUTOCOLOR!B58</f>
        <v/>
      </c>
      <c r="C58" s="52">
        <f>BAZA_AUTOCOLOR!C58</f>
        <v/>
      </c>
      <c r="D58" s="52">
        <f>BAZA_AUTOCOLOR!G58</f>
        <v/>
      </c>
      <c r="E58" s="52">
        <f>BAZA_AUTOCOLOR!K58</f>
        <v/>
      </c>
      <c r="F58" s="52">
        <f>BAZA_AUTOCOLOR!F58</f>
        <v/>
      </c>
      <c r="G58" s="52">
        <f>BAZA_AUTOCOLOR!L58</f>
        <v/>
      </c>
      <c r="H58" s="52">
        <f>BAZA_AUTOCOLOR!M58</f>
        <v/>
      </c>
      <c r="I58" s="52">
        <f>BAZA_AUTOCOLOR!J58</f>
        <v/>
      </c>
      <c r="J58" s="52">
        <f>BAZA_AUTOCOLOR!O58</f>
        <v/>
      </c>
      <c r="K58" s="52">
        <f>BAZA_AUTOCOLOR!H58</f>
        <v/>
      </c>
      <c r="L58" s="52">
        <f>BAZA_AUTOCOLOR!I58</f>
        <v/>
      </c>
      <c r="M58" s="52">
        <f>BAZA_AUTOCOLOR!R58</f>
        <v/>
      </c>
      <c r="N58" s="52">
        <f>BAZA_AUTOCOLOR!S58</f>
        <v/>
      </c>
    </row>
    <row r="59" ht="40" customHeight="1">
      <c r="A59" s="52">
        <f>BAZA_AUTOCOLOR!A59</f>
        <v/>
      </c>
      <c r="B59" s="52">
        <f>BAZA_AUTOCOLOR!B59</f>
        <v/>
      </c>
      <c r="C59" s="52">
        <f>BAZA_AUTOCOLOR!C59</f>
        <v/>
      </c>
      <c r="D59" s="52">
        <f>BAZA_AUTOCOLOR!G59</f>
        <v/>
      </c>
      <c r="E59" s="52">
        <f>BAZA_AUTOCOLOR!K59</f>
        <v/>
      </c>
      <c r="F59" s="52">
        <f>BAZA_AUTOCOLOR!F59</f>
        <v/>
      </c>
      <c r="G59" s="52">
        <f>BAZA_AUTOCOLOR!L59</f>
        <v/>
      </c>
      <c r="H59" s="52">
        <f>BAZA_AUTOCOLOR!M59</f>
        <v/>
      </c>
      <c r="I59" s="52">
        <f>BAZA_AUTOCOLOR!J59</f>
        <v/>
      </c>
      <c r="J59" s="52">
        <f>BAZA_AUTOCOLOR!O59</f>
        <v/>
      </c>
      <c r="K59" s="52">
        <f>BAZA_AUTOCOLOR!H59</f>
        <v/>
      </c>
      <c r="L59" s="52">
        <f>BAZA_AUTOCOLOR!I59</f>
        <v/>
      </c>
      <c r="M59" s="52">
        <f>BAZA_AUTOCOLOR!R59</f>
        <v/>
      </c>
      <c r="N59" s="52">
        <f>BAZA_AUTOCOLOR!S59</f>
        <v/>
      </c>
    </row>
    <row r="60" ht="40" customHeight="1">
      <c r="A60" s="52">
        <f>BAZA_AUTOCOLOR!A60</f>
        <v/>
      </c>
      <c r="B60" s="52">
        <f>BAZA_AUTOCOLOR!B60</f>
        <v/>
      </c>
      <c r="C60" s="52">
        <f>BAZA_AUTOCOLOR!C60</f>
        <v/>
      </c>
      <c r="D60" s="52">
        <f>BAZA_AUTOCOLOR!G60</f>
        <v/>
      </c>
      <c r="E60" s="52">
        <f>BAZA_AUTOCOLOR!K60</f>
        <v/>
      </c>
      <c r="F60" s="52">
        <f>BAZA_AUTOCOLOR!F60</f>
        <v/>
      </c>
      <c r="G60" s="52">
        <f>BAZA_AUTOCOLOR!L60</f>
        <v/>
      </c>
      <c r="H60" s="52">
        <f>BAZA_AUTOCOLOR!M60</f>
        <v/>
      </c>
      <c r="I60" s="52">
        <f>BAZA_AUTOCOLOR!J60</f>
        <v/>
      </c>
      <c r="J60" s="52">
        <f>BAZA_AUTOCOLOR!O60</f>
        <v/>
      </c>
      <c r="K60" s="52">
        <f>BAZA_AUTOCOLOR!H60</f>
        <v/>
      </c>
      <c r="L60" s="52">
        <f>BAZA_AUTOCOLOR!I60</f>
        <v/>
      </c>
      <c r="M60" s="52">
        <f>BAZA_AUTOCOLOR!R60</f>
        <v/>
      </c>
      <c r="N60" s="52">
        <f>BAZA_AUTOCOLOR!S60</f>
        <v/>
      </c>
    </row>
    <row r="61" ht="40" customHeight="1">
      <c r="A61" s="52">
        <f>BAZA_AUTOCOLOR!A61</f>
        <v/>
      </c>
      <c r="B61" s="52">
        <f>BAZA_AUTOCOLOR!B61</f>
        <v/>
      </c>
      <c r="C61" s="52">
        <f>BAZA_AUTOCOLOR!C61</f>
        <v/>
      </c>
      <c r="D61" s="52">
        <f>BAZA_AUTOCOLOR!G61</f>
        <v/>
      </c>
      <c r="E61" s="52">
        <f>BAZA_AUTOCOLOR!K61</f>
        <v/>
      </c>
      <c r="F61" s="52">
        <f>BAZA_AUTOCOLOR!F61</f>
        <v/>
      </c>
      <c r="G61" s="52">
        <f>BAZA_AUTOCOLOR!L61</f>
        <v/>
      </c>
      <c r="H61" s="52">
        <f>BAZA_AUTOCOLOR!M61</f>
        <v/>
      </c>
      <c r="I61" s="52">
        <f>BAZA_AUTOCOLOR!J61</f>
        <v/>
      </c>
      <c r="J61" s="52">
        <f>BAZA_AUTOCOLOR!O61</f>
        <v/>
      </c>
      <c r="K61" s="52">
        <f>BAZA_AUTOCOLOR!H61</f>
        <v/>
      </c>
      <c r="L61" s="52">
        <f>BAZA_AUTOCOLOR!I61</f>
        <v/>
      </c>
      <c r="M61" s="52">
        <f>BAZA_AUTOCOLOR!R61</f>
        <v/>
      </c>
      <c r="N61" s="52">
        <f>BAZA_AUTOCOLOR!S61</f>
        <v/>
      </c>
    </row>
    <row r="62" ht="40" customHeight="1">
      <c r="A62" s="52">
        <f>BAZA_AUTOCOLOR!A62</f>
        <v/>
      </c>
      <c r="B62" s="52">
        <f>BAZA_AUTOCOLOR!B62</f>
        <v/>
      </c>
      <c r="C62" s="52">
        <f>BAZA_AUTOCOLOR!C62</f>
        <v/>
      </c>
      <c r="D62" s="52">
        <f>BAZA_AUTOCOLOR!G62</f>
        <v/>
      </c>
      <c r="E62" s="52">
        <f>BAZA_AUTOCOLOR!K62</f>
        <v/>
      </c>
      <c r="F62" s="52">
        <f>BAZA_AUTOCOLOR!F62</f>
        <v/>
      </c>
      <c r="G62" s="52">
        <f>BAZA_AUTOCOLOR!L62</f>
        <v/>
      </c>
      <c r="H62" s="52">
        <f>BAZA_AUTOCOLOR!M62</f>
        <v/>
      </c>
      <c r="I62" s="52">
        <f>BAZA_AUTOCOLOR!J62</f>
        <v/>
      </c>
      <c r="J62" s="52">
        <f>BAZA_AUTOCOLOR!O62</f>
        <v/>
      </c>
      <c r="K62" s="52">
        <f>BAZA_AUTOCOLOR!H62</f>
        <v/>
      </c>
      <c r="L62" s="52">
        <f>BAZA_AUTOCOLOR!I62</f>
        <v/>
      </c>
      <c r="M62" s="52">
        <f>BAZA_AUTOCOLOR!R62</f>
        <v/>
      </c>
      <c r="N62" s="52">
        <f>BAZA_AUTOCOLOR!S62</f>
        <v/>
      </c>
    </row>
    <row r="63" ht="40" customHeight="1">
      <c r="A63" s="52">
        <f>BAZA_AUTOCOLOR!A63</f>
        <v/>
      </c>
      <c r="B63" s="52">
        <f>BAZA_AUTOCOLOR!B63</f>
        <v/>
      </c>
      <c r="C63" s="52">
        <f>BAZA_AUTOCOLOR!C63</f>
        <v/>
      </c>
      <c r="D63" s="52">
        <f>BAZA_AUTOCOLOR!G63</f>
        <v/>
      </c>
      <c r="E63" s="52">
        <f>BAZA_AUTOCOLOR!K63</f>
        <v/>
      </c>
      <c r="F63" s="52">
        <f>BAZA_AUTOCOLOR!F63</f>
        <v/>
      </c>
      <c r="G63" s="52">
        <f>BAZA_AUTOCOLOR!L63</f>
        <v/>
      </c>
      <c r="H63" s="52">
        <f>BAZA_AUTOCOLOR!M63</f>
        <v/>
      </c>
      <c r="I63" s="52">
        <f>BAZA_AUTOCOLOR!J63</f>
        <v/>
      </c>
      <c r="J63" s="52">
        <f>BAZA_AUTOCOLOR!O63</f>
        <v/>
      </c>
      <c r="K63" s="52">
        <f>BAZA_AUTOCOLOR!H63</f>
        <v/>
      </c>
      <c r="L63" s="52">
        <f>BAZA_AUTOCOLOR!I63</f>
        <v/>
      </c>
      <c r="M63" s="52">
        <f>BAZA_AUTOCOLOR!R63</f>
        <v/>
      </c>
      <c r="N63" s="52">
        <f>BAZA_AUTOCOLOR!S63</f>
        <v/>
      </c>
    </row>
    <row r="64" ht="40" customHeight="1">
      <c r="A64" s="52">
        <f>BAZA_AUTOCOLOR!A64</f>
        <v/>
      </c>
      <c r="B64" s="52">
        <f>BAZA_AUTOCOLOR!B64</f>
        <v/>
      </c>
      <c r="C64" s="52">
        <f>BAZA_AUTOCOLOR!C64</f>
        <v/>
      </c>
      <c r="D64" s="52">
        <f>BAZA_AUTOCOLOR!G64</f>
        <v/>
      </c>
      <c r="E64" s="52">
        <f>BAZA_AUTOCOLOR!K64</f>
        <v/>
      </c>
      <c r="F64" s="52">
        <f>BAZA_AUTOCOLOR!F64</f>
        <v/>
      </c>
      <c r="G64" s="52">
        <f>BAZA_AUTOCOLOR!L64</f>
        <v/>
      </c>
      <c r="H64" s="52">
        <f>BAZA_AUTOCOLOR!M64</f>
        <v/>
      </c>
      <c r="I64" s="52">
        <f>BAZA_AUTOCOLOR!J64</f>
        <v/>
      </c>
      <c r="J64" s="52">
        <f>BAZA_AUTOCOLOR!O64</f>
        <v/>
      </c>
      <c r="K64" s="52">
        <f>BAZA_AUTOCOLOR!H64</f>
        <v/>
      </c>
      <c r="L64" s="52">
        <f>BAZA_AUTOCOLOR!I64</f>
        <v/>
      </c>
      <c r="M64" s="52">
        <f>BAZA_AUTOCOLOR!R64</f>
        <v/>
      </c>
      <c r="N64" s="52">
        <f>BAZA_AUTOCOLOR!S64</f>
        <v/>
      </c>
    </row>
    <row r="65" ht="40" customHeight="1">
      <c r="A65" s="52">
        <f>BAZA_AUTOCOLOR!A65</f>
        <v/>
      </c>
      <c r="B65" s="52">
        <f>BAZA_AUTOCOLOR!B65</f>
        <v/>
      </c>
      <c r="C65" s="52">
        <f>BAZA_AUTOCOLOR!C65</f>
        <v/>
      </c>
      <c r="D65" s="52">
        <f>BAZA_AUTOCOLOR!G65</f>
        <v/>
      </c>
      <c r="E65" s="52">
        <f>BAZA_AUTOCOLOR!K65</f>
        <v/>
      </c>
      <c r="F65" s="52">
        <f>BAZA_AUTOCOLOR!F65</f>
        <v/>
      </c>
      <c r="G65" s="52">
        <f>BAZA_AUTOCOLOR!L65</f>
        <v/>
      </c>
      <c r="H65" s="52">
        <f>BAZA_AUTOCOLOR!M65</f>
        <v/>
      </c>
      <c r="I65" s="52">
        <f>BAZA_AUTOCOLOR!J65</f>
        <v/>
      </c>
      <c r="J65" s="52">
        <f>BAZA_AUTOCOLOR!O65</f>
        <v/>
      </c>
      <c r="K65" s="52">
        <f>BAZA_AUTOCOLOR!H65</f>
        <v/>
      </c>
      <c r="L65" s="52">
        <f>BAZA_AUTOCOLOR!I65</f>
        <v/>
      </c>
      <c r="M65" s="52">
        <f>BAZA_AUTOCOLOR!R65</f>
        <v/>
      </c>
      <c r="N65" s="52">
        <f>BAZA_AUTOCOLOR!S65</f>
        <v/>
      </c>
    </row>
    <row r="66" ht="40" customHeight="1">
      <c r="A66" s="52">
        <f>BAZA_AUTOCOLOR!A66</f>
        <v/>
      </c>
      <c r="B66" s="52">
        <f>BAZA_AUTOCOLOR!B66</f>
        <v/>
      </c>
      <c r="C66" s="52">
        <f>BAZA_AUTOCOLOR!C66</f>
        <v/>
      </c>
      <c r="D66" s="52">
        <f>BAZA_AUTOCOLOR!G66</f>
        <v/>
      </c>
      <c r="E66" s="52">
        <f>BAZA_AUTOCOLOR!K66</f>
        <v/>
      </c>
      <c r="F66" s="52">
        <f>BAZA_AUTOCOLOR!F66</f>
        <v/>
      </c>
      <c r="G66" s="52">
        <f>BAZA_AUTOCOLOR!L66</f>
        <v/>
      </c>
      <c r="H66" s="52">
        <f>BAZA_AUTOCOLOR!M66</f>
        <v/>
      </c>
      <c r="I66" s="52">
        <f>BAZA_AUTOCOLOR!J66</f>
        <v/>
      </c>
      <c r="J66" s="52">
        <f>BAZA_AUTOCOLOR!O66</f>
        <v/>
      </c>
      <c r="K66" s="52">
        <f>BAZA_AUTOCOLOR!H66</f>
        <v/>
      </c>
      <c r="L66" s="52">
        <f>BAZA_AUTOCOLOR!I66</f>
        <v/>
      </c>
      <c r="M66" s="52">
        <f>BAZA_AUTOCOLOR!R66</f>
        <v/>
      </c>
      <c r="N66" s="52">
        <f>BAZA_AUTOCOLOR!S66</f>
        <v/>
      </c>
    </row>
    <row r="67" ht="40" customHeight="1">
      <c r="A67" s="52">
        <f>BAZA_AUTOCOLOR!A67</f>
        <v/>
      </c>
      <c r="B67" s="52">
        <f>BAZA_AUTOCOLOR!B67</f>
        <v/>
      </c>
      <c r="C67" s="52">
        <f>BAZA_AUTOCOLOR!C67</f>
        <v/>
      </c>
      <c r="D67" s="52">
        <f>BAZA_AUTOCOLOR!G67</f>
        <v/>
      </c>
      <c r="E67" s="52">
        <f>BAZA_AUTOCOLOR!K67</f>
        <v/>
      </c>
      <c r="F67" s="52">
        <f>BAZA_AUTOCOLOR!F67</f>
        <v/>
      </c>
      <c r="G67" s="52">
        <f>BAZA_AUTOCOLOR!L67</f>
        <v/>
      </c>
      <c r="H67" s="52">
        <f>BAZA_AUTOCOLOR!M67</f>
        <v/>
      </c>
      <c r="I67" s="52">
        <f>BAZA_AUTOCOLOR!J67</f>
        <v/>
      </c>
      <c r="J67" s="52">
        <f>BAZA_AUTOCOLOR!O67</f>
        <v/>
      </c>
      <c r="K67" s="52">
        <f>BAZA_AUTOCOLOR!H67</f>
        <v/>
      </c>
      <c r="L67" s="52">
        <f>BAZA_AUTOCOLOR!I67</f>
        <v/>
      </c>
      <c r="M67" s="52">
        <f>BAZA_AUTOCOLOR!R67</f>
        <v/>
      </c>
      <c r="N67" s="52">
        <f>BAZA_AUTOCOLOR!S67</f>
        <v/>
      </c>
    </row>
    <row r="68" ht="40" customHeight="1">
      <c r="A68" s="52">
        <f>BAZA_AUTOCOLOR!A68</f>
        <v/>
      </c>
      <c r="B68" s="52">
        <f>BAZA_AUTOCOLOR!B68</f>
        <v/>
      </c>
      <c r="C68" s="52">
        <f>BAZA_AUTOCOLOR!C68</f>
        <v/>
      </c>
      <c r="D68" s="52">
        <f>BAZA_AUTOCOLOR!G68</f>
        <v/>
      </c>
      <c r="E68" s="52">
        <f>BAZA_AUTOCOLOR!K68</f>
        <v/>
      </c>
      <c r="F68" s="52">
        <f>BAZA_AUTOCOLOR!F68</f>
        <v/>
      </c>
      <c r="G68" s="52">
        <f>BAZA_AUTOCOLOR!L68</f>
        <v/>
      </c>
      <c r="H68" s="52">
        <f>BAZA_AUTOCOLOR!M68</f>
        <v/>
      </c>
      <c r="I68" s="52">
        <f>BAZA_AUTOCOLOR!J68</f>
        <v/>
      </c>
      <c r="J68" s="52">
        <f>BAZA_AUTOCOLOR!O68</f>
        <v/>
      </c>
      <c r="K68" s="52">
        <f>BAZA_AUTOCOLOR!H68</f>
        <v/>
      </c>
      <c r="L68" s="52">
        <f>BAZA_AUTOCOLOR!I68</f>
        <v/>
      </c>
      <c r="M68" s="52">
        <f>BAZA_AUTOCOLOR!R68</f>
        <v/>
      </c>
      <c r="N68" s="52">
        <f>BAZA_AUTOCOLOR!S68</f>
        <v/>
      </c>
    </row>
    <row r="69" ht="40" customHeight="1">
      <c r="A69" s="52">
        <f>BAZA_AUTOCOLOR!A69</f>
        <v/>
      </c>
      <c r="B69" s="52">
        <f>BAZA_AUTOCOLOR!B69</f>
        <v/>
      </c>
      <c r="C69" s="52">
        <f>BAZA_AUTOCOLOR!C69</f>
        <v/>
      </c>
      <c r="D69" s="52">
        <f>BAZA_AUTOCOLOR!G69</f>
        <v/>
      </c>
      <c r="E69" s="52">
        <f>BAZA_AUTOCOLOR!K69</f>
        <v/>
      </c>
      <c r="F69" s="52">
        <f>BAZA_AUTOCOLOR!F69</f>
        <v/>
      </c>
      <c r="G69" s="52">
        <f>BAZA_AUTOCOLOR!L69</f>
        <v/>
      </c>
      <c r="H69" s="52">
        <f>BAZA_AUTOCOLOR!M69</f>
        <v/>
      </c>
      <c r="I69" s="52">
        <f>BAZA_AUTOCOLOR!J69</f>
        <v/>
      </c>
      <c r="J69" s="52">
        <f>BAZA_AUTOCOLOR!O69</f>
        <v/>
      </c>
      <c r="K69" s="52">
        <f>BAZA_AUTOCOLOR!H69</f>
        <v/>
      </c>
      <c r="L69" s="52">
        <f>BAZA_AUTOCOLOR!I69</f>
        <v/>
      </c>
      <c r="M69" s="52">
        <f>BAZA_AUTOCOLOR!R69</f>
        <v/>
      </c>
      <c r="N69" s="52">
        <f>BAZA_AUTOCOLOR!S69</f>
        <v/>
      </c>
    </row>
    <row r="70" ht="40" customHeight="1">
      <c r="A70" s="52">
        <f>BAZA_AUTOCOLOR!A70</f>
        <v/>
      </c>
      <c r="B70" s="52">
        <f>BAZA_AUTOCOLOR!B70</f>
        <v/>
      </c>
      <c r="C70" s="52">
        <f>BAZA_AUTOCOLOR!C70</f>
        <v/>
      </c>
      <c r="D70" s="52">
        <f>BAZA_AUTOCOLOR!G70</f>
        <v/>
      </c>
      <c r="E70" s="52">
        <f>BAZA_AUTOCOLOR!K70</f>
        <v/>
      </c>
      <c r="F70" s="52">
        <f>BAZA_AUTOCOLOR!F70</f>
        <v/>
      </c>
      <c r="G70" s="52">
        <f>BAZA_AUTOCOLOR!L70</f>
        <v/>
      </c>
      <c r="H70" s="52">
        <f>BAZA_AUTOCOLOR!M70</f>
        <v/>
      </c>
      <c r="I70" s="52">
        <f>BAZA_AUTOCOLOR!J70</f>
        <v/>
      </c>
      <c r="J70" s="52">
        <f>BAZA_AUTOCOLOR!O70</f>
        <v/>
      </c>
      <c r="K70" s="52">
        <f>BAZA_AUTOCOLOR!H70</f>
        <v/>
      </c>
      <c r="L70" s="52">
        <f>BAZA_AUTOCOLOR!I70</f>
        <v/>
      </c>
      <c r="M70" s="52">
        <f>BAZA_AUTOCOLOR!R70</f>
        <v/>
      </c>
      <c r="N70" s="52">
        <f>BAZA_AUTOCOLOR!S70</f>
        <v/>
      </c>
    </row>
    <row r="71" ht="40" customHeight="1">
      <c r="A71" s="52">
        <f>BAZA_AUTOCOLOR!A71</f>
        <v/>
      </c>
      <c r="B71" s="52">
        <f>BAZA_AUTOCOLOR!B71</f>
        <v/>
      </c>
      <c r="C71" s="52">
        <f>BAZA_AUTOCOLOR!C71</f>
        <v/>
      </c>
      <c r="D71" s="52">
        <f>BAZA_AUTOCOLOR!G71</f>
        <v/>
      </c>
      <c r="E71" s="52">
        <f>BAZA_AUTOCOLOR!K71</f>
        <v/>
      </c>
      <c r="F71" s="52">
        <f>BAZA_AUTOCOLOR!F71</f>
        <v/>
      </c>
      <c r="G71" s="52">
        <f>BAZA_AUTOCOLOR!L71</f>
        <v/>
      </c>
      <c r="H71" s="52">
        <f>BAZA_AUTOCOLOR!M71</f>
        <v/>
      </c>
      <c r="I71" s="52">
        <f>BAZA_AUTOCOLOR!J71</f>
        <v/>
      </c>
      <c r="J71" s="52">
        <f>BAZA_AUTOCOLOR!O71</f>
        <v/>
      </c>
      <c r="K71" s="52">
        <f>BAZA_AUTOCOLOR!H71</f>
        <v/>
      </c>
      <c r="L71" s="52">
        <f>BAZA_AUTOCOLOR!I71</f>
        <v/>
      </c>
      <c r="M71" s="52">
        <f>BAZA_AUTOCOLOR!R71</f>
        <v/>
      </c>
      <c r="N71" s="52">
        <f>BAZA_AUTOCOLOR!S71</f>
        <v/>
      </c>
    </row>
    <row r="72" ht="40" customHeight="1">
      <c r="A72" s="52">
        <f>BAZA_AUTOCOLOR!A72</f>
        <v/>
      </c>
      <c r="B72" s="52">
        <f>BAZA_AUTOCOLOR!B72</f>
        <v/>
      </c>
      <c r="C72" s="52">
        <f>BAZA_AUTOCOLOR!C72</f>
        <v/>
      </c>
      <c r="D72" s="52">
        <f>BAZA_AUTOCOLOR!G72</f>
        <v/>
      </c>
      <c r="E72" s="52">
        <f>BAZA_AUTOCOLOR!K72</f>
        <v/>
      </c>
      <c r="F72" s="52">
        <f>BAZA_AUTOCOLOR!F72</f>
        <v/>
      </c>
      <c r="G72" s="52">
        <f>BAZA_AUTOCOLOR!L72</f>
        <v/>
      </c>
      <c r="H72" s="52">
        <f>BAZA_AUTOCOLOR!M72</f>
        <v/>
      </c>
      <c r="I72" s="52">
        <f>BAZA_AUTOCOLOR!J72</f>
        <v/>
      </c>
      <c r="J72" s="52">
        <f>BAZA_AUTOCOLOR!O72</f>
        <v/>
      </c>
      <c r="K72" s="52">
        <f>BAZA_AUTOCOLOR!H72</f>
        <v/>
      </c>
      <c r="L72" s="52">
        <f>BAZA_AUTOCOLOR!I72</f>
        <v/>
      </c>
      <c r="M72" s="52">
        <f>BAZA_AUTOCOLOR!R72</f>
        <v/>
      </c>
      <c r="N72" s="52">
        <f>BAZA_AUTOCOLOR!S72</f>
        <v/>
      </c>
    </row>
    <row r="73" ht="40" customHeight="1">
      <c r="A73" s="52">
        <f>BAZA_AUTOCOLOR!A73</f>
        <v/>
      </c>
      <c r="B73" s="52">
        <f>BAZA_AUTOCOLOR!B73</f>
        <v/>
      </c>
      <c r="C73" s="52">
        <f>BAZA_AUTOCOLOR!C73</f>
        <v/>
      </c>
      <c r="D73" s="52">
        <f>BAZA_AUTOCOLOR!G73</f>
        <v/>
      </c>
      <c r="E73" s="52">
        <f>BAZA_AUTOCOLOR!K73</f>
        <v/>
      </c>
      <c r="F73" s="52">
        <f>BAZA_AUTOCOLOR!F73</f>
        <v/>
      </c>
      <c r="G73" s="52">
        <f>BAZA_AUTOCOLOR!L73</f>
        <v/>
      </c>
      <c r="H73" s="52">
        <f>BAZA_AUTOCOLOR!M73</f>
        <v/>
      </c>
      <c r="I73" s="52">
        <f>BAZA_AUTOCOLOR!J73</f>
        <v/>
      </c>
      <c r="J73" s="52">
        <f>BAZA_AUTOCOLOR!O73</f>
        <v/>
      </c>
      <c r="K73" s="52">
        <f>BAZA_AUTOCOLOR!H73</f>
        <v/>
      </c>
      <c r="L73" s="52">
        <f>BAZA_AUTOCOLOR!I73</f>
        <v/>
      </c>
      <c r="M73" s="52">
        <f>BAZA_AUTOCOLOR!R73</f>
        <v/>
      </c>
      <c r="N73" s="52">
        <f>BAZA_AUTOCOLOR!S73</f>
        <v/>
      </c>
    </row>
    <row r="74" ht="40" customHeight="1">
      <c r="A74" s="52">
        <f>BAZA_AUTOCOLOR!A74</f>
        <v/>
      </c>
      <c r="B74" s="52">
        <f>BAZA_AUTOCOLOR!B74</f>
        <v/>
      </c>
      <c r="C74" s="52">
        <f>BAZA_AUTOCOLOR!C74</f>
        <v/>
      </c>
      <c r="D74" s="52">
        <f>BAZA_AUTOCOLOR!G74</f>
        <v/>
      </c>
      <c r="E74" s="52">
        <f>BAZA_AUTOCOLOR!K74</f>
        <v/>
      </c>
      <c r="F74" s="52">
        <f>BAZA_AUTOCOLOR!F74</f>
        <v/>
      </c>
      <c r="G74" s="52">
        <f>BAZA_AUTOCOLOR!L74</f>
        <v/>
      </c>
      <c r="H74" s="52">
        <f>BAZA_AUTOCOLOR!M74</f>
        <v/>
      </c>
      <c r="I74" s="52">
        <f>BAZA_AUTOCOLOR!J74</f>
        <v/>
      </c>
      <c r="J74" s="52">
        <f>BAZA_AUTOCOLOR!O74</f>
        <v/>
      </c>
      <c r="K74" s="52">
        <f>BAZA_AUTOCOLOR!H74</f>
        <v/>
      </c>
      <c r="L74" s="52">
        <f>BAZA_AUTOCOLOR!I74</f>
        <v/>
      </c>
      <c r="M74" s="52">
        <f>BAZA_AUTOCOLOR!R74</f>
        <v/>
      </c>
      <c r="N74" s="52">
        <f>BAZA_AUTOCOLOR!S74</f>
        <v/>
      </c>
    </row>
    <row r="75" ht="40" customHeight="1">
      <c r="A75" s="52">
        <f>BAZA_AUTOCOLOR!A75</f>
        <v/>
      </c>
      <c r="B75" s="52">
        <f>BAZA_AUTOCOLOR!B75</f>
        <v/>
      </c>
      <c r="C75" s="52">
        <f>BAZA_AUTOCOLOR!C75</f>
        <v/>
      </c>
      <c r="D75" s="52">
        <f>BAZA_AUTOCOLOR!G75</f>
        <v/>
      </c>
      <c r="E75" s="52">
        <f>BAZA_AUTOCOLOR!K75</f>
        <v/>
      </c>
      <c r="F75" s="52">
        <f>BAZA_AUTOCOLOR!F75</f>
        <v/>
      </c>
      <c r="G75" s="52">
        <f>BAZA_AUTOCOLOR!L75</f>
        <v/>
      </c>
      <c r="H75" s="52">
        <f>BAZA_AUTOCOLOR!M75</f>
        <v/>
      </c>
      <c r="I75" s="52">
        <f>BAZA_AUTOCOLOR!J75</f>
        <v/>
      </c>
      <c r="J75" s="52">
        <f>BAZA_AUTOCOLOR!O75</f>
        <v/>
      </c>
      <c r="K75" s="52">
        <f>BAZA_AUTOCOLOR!H75</f>
        <v/>
      </c>
      <c r="L75" s="52">
        <f>BAZA_AUTOCOLOR!I75</f>
        <v/>
      </c>
      <c r="M75" s="52">
        <f>BAZA_AUTOCOLOR!R75</f>
        <v/>
      </c>
      <c r="N75" s="52">
        <f>BAZA_AUTOCOLOR!S75</f>
        <v/>
      </c>
    </row>
    <row r="76" ht="40" customHeight="1">
      <c r="A76" s="52">
        <f>BAZA_AUTOCOLOR!A76</f>
        <v/>
      </c>
      <c r="B76" s="52">
        <f>BAZA_AUTOCOLOR!B76</f>
        <v/>
      </c>
      <c r="C76" s="52">
        <f>BAZA_AUTOCOLOR!C76</f>
        <v/>
      </c>
      <c r="D76" s="52">
        <f>BAZA_AUTOCOLOR!G76</f>
        <v/>
      </c>
      <c r="E76" s="52">
        <f>BAZA_AUTOCOLOR!K76</f>
        <v/>
      </c>
      <c r="F76" s="52">
        <f>BAZA_AUTOCOLOR!F76</f>
        <v/>
      </c>
      <c r="G76" s="52">
        <f>BAZA_AUTOCOLOR!L76</f>
        <v/>
      </c>
      <c r="H76" s="52">
        <f>BAZA_AUTOCOLOR!M76</f>
        <v/>
      </c>
      <c r="I76" s="52">
        <f>BAZA_AUTOCOLOR!J76</f>
        <v/>
      </c>
      <c r="J76" s="52">
        <f>BAZA_AUTOCOLOR!O76</f>
        <v/>
      </c>
      <c r="K76" s="52">
        <f>BAZA_AUTOCOLOR!H76</f>
        <v/>
      </c>
      <c r="L76" s="52">
        <f>BAZA_AUTOCOLOR!I76</f>
        <v/>
      </c>
      <c r="M76" s="52">
        <f>BAZA_AUTOCOLOR!R76</f>
        <v/>
      </c>
      <c r="N76" s="52">
        <f>BAZA_AUTOCOLOR!S76</f>
        <v/>
      </c>
    </row>
    <row r="77" ht="40" customHeight="1">
      <c r="A77" s="52">
        <f>BAZA_AUTOCOLOR!A77</f>
        <v/>
      </c>
      <c r="B77" s="52">
        <f>BAZA_AUTOCOLOR!B77</f>
        <v/>
      </c>
      <c r="C77" s="52">
        <f>BAZA_AUTOCOLOR!C77</f>
        <v/>
      </c>
      <c r="D77" s="52">
        <f>BAZA_AUTOCOLOR!G77</f>
        <v/>
      </c>
      <c r="E77" s="52">
        <f>BAZA_AUTOCOLOR!K77</f>
        <v/>
      </c>
      <c r="F77" s="52">
        <f>BAZA_AUTOCOLOR!F77</f>
        <v/>
      </c>
      <c r="G77" s="52">
        <f>BAZA_AUTOCOLOR!L77</f>
        <v/>
      </c>
      <c r="H77" s="52">
        <f>BAZA_AUTOCOLOR!M77</f>
        <v/>
      </c>
      <c r="I77" s="52">
        <f>BAZA_AUTOCOLOR!J77</f>
        <v/>
      </c>
      <c r="J77" s="52">
        <f>BAZA_AUTOCOLOR!O77</f>
        <v/>
      </c>
      <c r="K77" s="52">
        <f>BAZA_AUTOCOLOR!H77</f>
        <v/>
      </c>
      <c r="L77" s="52">
        <f>BAZA_AUTOCOLOR!I77</f>
        <v/>
      </c>
      <c r="M77" s="52">
        <f>BAZA_AUTOCOLOR!R77</f>
        <v/>
      </c>
      <c r="N77" s="52">
        <f>BAZA_AUTOCOLOR!S77</f>
        <v/>
      </c>
    </row>
    <row r="78" ht="40" customHeight="1">
      <c r="A78" s="52">
        <f>BAZA_AUTOCOLOR!A78</f>
        <v/>
      </c>
      <c r="B78" s="52">
        <f>BAZA_AUTOCOLOR!B78</f>
        <v/>
      </c>
      <c r="C78" s="52">
        <f>BAZA_AUTOCOLOR!C78</f>
        <v/>
      </c>
      <c r="D78" s="52">
        <f>BAZA_AUTOCOLOR!G78</f>
        <v/>
      </c>
      <c r="E78" s="52">
        <f>BAZA_AUTOCOLOR!K78</f>
        <v/>
      </c>
      <c r="F78" s="52">
        <f>BAZA_AUTOCOLOR!F78</f>
        <v/>
      </c>
      <c r="G78" s="52">
        <f>BAZA_AUTOCOLOR!L78</f>
        <v/>
      </c>
      <c r="H78" s="52">
        <f>BAZA_AUTOCOLOR!M78</f>
        <v/>
      </c>
      <c r="I78" s="52">
        <f>BAZA_AUTOCOLOR!J78</f>
        <v/>
      </c>
      <c r="J78" s="52">
        <f>BAZA_AUTOCOLOR!O78</f>
        <v/>
      </c>
      <c r="K78" s="52">
        <f>BAZA_AUTOCOLOR!H78</f>
        <v/>
      </c>
      <c r="L78" s="52">
        <f>BAZA_AUTOCOLOR!I78</f>
        <v/>
      </c>
      <c r="M78" s="52">
        <f>BAZA_AUTOCOLOR!R78</f>
        <v/>
      </c>
      <c r="N78" s="52">
        <f>BAZA_AUTOCOLOR!S78</f>
        <v/>
      </c>
    </row>
    <row r="79" ht="40" customHeight="1">
      <c r="A79" s="52">
        <f>BAZA_AUTOCOLOR!A79</f>
        <v/>
      </c>
      <c r="B79" s="52">
        <f>BAZA_AUTOCOLOR!B79</f>
        <v/>
      </c>
      <c r="C79" s="52">
        <f>BAZA_AUTOCOLOR!C79</f>
        <v/>
      </c>
      <c r="D79" s="52">
        <f>BAZA_AUTOCOLOR!G79</f>
        <v/>
      </c>
      <c r="E79" s="52">
        <f>BAZA_AUTOCOLOR!K79</f>
        <v/>
      </c>
      <c r="F79" s="52">
        <f>BAZA_AUTOCOLOR!F79</f>
        <v/>
      </c>
      <c r="G79" s="52">
        <f>BAZA_AUTOCOLOR!L79</f>
        <v/>
      </c>
      <c r="H79" s="52">
        <f>BAZA_AUTOCOLOR!M79</f>
        <v/>
      </c>
      <c r="I79" s="52">
        <f>BAZA_AUTOCOLOR!J79</f>
        <v/>
      </c>
      <c r="J79" s="52">
        <f>BAZA_AUTOCOLOR!O79</f>
        <v/>
      </c>
      <c r="K79" s="52">
        <f>BAZA_AUTOCOLOR!H79</f>
        <v/>
      </c>
      <c r="L79" s="52">
        <f>BAZA_AUTOCOLOR!I79</f>
        <v/>
      </c>
      <c r="M79" s="52">
        <f>BAZA_AUTOCOLOR!R79</f>
        <v/>
      </c>
      <c r="N79" s="52">
        <f>BAZA_AUTOCOLOR!S79</f>
        <v/>
      </c>
    </row>
    <row r="80" ht="40" customHeight="1">
      <c r="A80" s="52">
        <f>BAZA_AUTOCOLOR!A80</f>
        <v/>
      </c>
      <c r="B80" s="52">
        <f>BAZA_AUTOCOLOR!B80</f>
        <v/>
      </c>
      <c r="C80" s="52">
        <f>BAZA_AUTOCOLOR!C80</f>
        <v/>
      </c>
      <c r="D80" s="52">
        <f>BAZA_AUTOCOLOR!G80</f>
        <v/>
      </c>
      <c r="E80" s="52">
        <f>BAZA_AUTOCOLOR!K80</f>
        <v/>
      </c>
      <c r="F80" s="52">
        <f>BAZA_AUTOCOLOR!F80</f>
        <v/>
      </c>
      <c r="G80" s="52">
        <f>BAZA_AUTOCOLOR!L80</f>
        <v/>
      </c>
      <c r="H80" s="52">
        <f>BAZA_AUTOCOLOR!M80</f>
        <v/>
      </c>
      <c r="I80" s="52">
        <f>BAZA_AUTOCOLOR!J80</f>
        <v/>
      </c>
      <c r="J80" s="52">
        <f>BAZA_AUTOCOLOR!O80</f>
        <v/>
      </c>
      <c r="K80" s="52">
        <f>BAZA_AUTOCOLOR!H80</f>
        <v/>
      </c>
      <c r="L80" s="52">
        <f>BAZA_AUTOCOLOR!I80</f>
        <v/>
      </c>
      <c r="M80" s="52">
        <f>BAZA_AUTOCOLOR!R80</f>
        <v/>
      </c>
      <c r="N80" s="52">
        <f>BAZA_AUTOCOLOR!S80</f>
        <v/>
      </c>
    </row>
    <row r="81" ht="40" customHeight="1">
      <c r="A81" s="52">
        <f>BAZA_AUTOCOLOR!A81</f>
        <v/>
      </c>
      <c r="B81" s="52">
        <f>BAZA_AUTOCOLOR!B81</f>
        <v/>
      </c>
      <c r="C81" s="52">
        <f>BAZA_AUTOCOLOR!C81</f>
        <v/>
      </c>
      <c r="D81" s="52">
        <f>BAZA_AUTOCOLOR!G81</f>
        <v/>
      </c>
      <c r="E81" s="52">
        <f>BAZA_AUTOCOLOR!K81</f>
        <v/>
      </c>
      <c r="F81" s="52">
        <f>BAZA_AUTOCOLOR!F81</f>
        <v/>
      </c>
      <c r="G81" s="52">
        <f>BAZA_AUTOCOLOR!L81</f>
        <v/>
      </c>
      <c r="H81" s="52">
        <f>BAZA_AUTOCOLOR!M81</f>
        <v/>
      </c>
      <c r="I81" s="52">
        <f>BAZA_AUTOCOLOR!J81</f>
        <v/>
      </c>
      <c r="J81" s="52">
        <f>BAZA_AUTOCOLOR!O81</f>
        <v/>
      </c>
      <c r="K81" s="52">
        <f>BAZA_AUTOCOLOR!H81</f>
        <v/>
      </c>
      <c r="L81" s="52">
        <f>BAZA_AUTOCOLOR!I81</f>
        <v/>
      </c>
      <c r="M81" s="52">
        <f>BAZA_AUTOCOLOR!R81</f>
        <v/>
      </c>
      <c r="N81" s="52">
        <f>BAZA_AUTOCOLOR!S81</f>
        <v/>
      </c>
    </row>
    <row r="82" ht="40" customHeight="1">
      <c r="A82" s="52">
        <f>BAZA_AUTOCOLOR!A82</f>
        <v/>
      </c>
      <c r="B82" s="52">
        <f>BAZA_AUTOCOLOR!B82</f>
        <v/>
      </c>
      <c r="C82" s="52">
        <f>BAZA_AUTOCOLOR!C82</f>
        <v/>
      </c>
      <c r="D82" s="52">
        <f>BAZA_AUTOCOLOR!G82</f>
        <v/>
      </c>
      <c r="E82" s="52">
        <f>BAZA_AUTOCOLOR!K82</f>
        <v/>
      </c>
      <c r="F82" s="52">
        <f>BAZA_AUTOCOLOR!F82</f>
        <v/>
      </c>
      <c r="G82" s="52">
        <f>BAZA_AUTOCOLOR!L82</f>
        <v/>
      </c>
      <c r="H82" s="52">
        <f>BAZA_AUTOCOLOR!M82</f>
        <v/>
      </c>
      <c r="I82" s="52">
        <f>BAZA_AUTOCOLOR!J82</f>
        <v/>
      </c>
      <c r="J82" s="52">
        <f>BAZA_AUTOCOLOR!O82</f>
        <v/>
      </c>
      <c r="K82" s="52">
        <f>BAZA_AUTOCOLOR!H82</f>
        <v/>
      </c>
      <c r="L82" s="52">
        <f>BAZA_AUTOCOLOR!I82</f>
        <v/>
      </c>
      <c r="M82" s="52">
        <f>BAZA_AUTOCOLOR!R82</f>
        <v/>
      </c>
      <c r="N82" s="52">
        <f>BAZA_AUTOCOLOR!S82</f>
        <v/>
      </c>
    </row>
    <row r="83" ht="40" customHeight="1">
      <c r="A83" s="52">
        <f>BAZA_AUTOCOLOR!A83</f>
        <v/>
      </c>
      <c r="B83" s="52">
        <f>BAZA_AUTOCOLOR!B83</f>
        <v/>
      </c>
      <c r="C83" s="52">
        <f>BAZA_AUTOCOLOR!C83</f>
        <v/>
      </c>
      <c r="D83" s="52">
        <f>BAZA_AUTOCOLOR!G83</f>
        <v/>
      </c>
      <c r="E83" s="52">
        <f>BAZA_AUTOCOLOR!K83</f>
        <v/>
      </c>
      <c r="F83" s="52">
        <f>BAZA_AUTOCOLOR!F83</f>
        <v/>
      </c>
      <c r="G83" s="52">
        <f>BAZA_AUTOCOLOR!L83</f>
        <v/>
      </c>
      <c r="H83" s="52">
        <f>BAZA_AUTOCOLOR!M83</f>
        <v/>
      </c>
      <c r="I83" s="52">
        <f>BAZA_AUTOCOLOR!J83</f>
        <v/>
      </c>
      <c r="J83" s="52">
        <f>BAZA_AUTOCOLOR!O83</f>
        <v/>
      </c>
      <c r="K83" s="52">
        <f>BAZA_AUTOCOLOR!H83</f>
        <v/>
      </c>
      <c r="L83" s="52">
        <f>BAZA_AUTOCOLOR!I83</f>
        <v/>
      </c>
      <c r="M83" s="52">
        <f>BAZA_AUTOCOLOR!R83</f>
        <v/>
      </c>
      <c r="N83" s="52">
        <f>BAZA_AUTOCOLOR!S83</f>
        <v/>
      </c>
    </row>
    <row r="84" ht="40" customHeight="1">
      <c r="A84" s="52">
        <f>BAZA_AUTOCOLOR!A84</f>
        <v/>
      </c>
      <c r="B84" s="52">
        <f>BAZA_AUTOCOLOR!B84</f>
        <v/>
      </c>
      <c r="C84" s="52">
        <f>BAZA_AUTOCOLOR!C84</f>
        <v/>
      </c>
      <c r="D84" s="52">
        <f>BAZA_AUTOCOLOR!G84</f>
        <v/>
      </c>
      <c r="E84" s="52">
        <f>BAZA_AUTOCOLOR!K84</f>
        <v/>
      </c>
      <c r="F84" s="52">
        <f>BAZA_AUTOCOLOR!F84</f>
        <v/>
      </c>
      <c r="G84" s="52">
        <f>BAZA_AUTOCOLOR!L84</f>
        <v/>
      </c>
      <c r="H84" s="52">
        <f>BAZA_AUTOCOLOR!M84</f>
        <v/>
      </c>
      <c r="I84" s="52">
        <f>BAZA_AUTOCOLOR!J84</f>
        <v/>
      </c>
      <c r="J84" s="52">
        <f>BAZA_AUTOCOLOR!O84</f>
        <v/>
      </c>
      <c r="K84" s="52">
        <f>BAZA_AUTOCOLOR!H84</f>
        <v/>
      </c>
      <c r="L84" s="52">
        <f>BAZA_AUTOCOLOR!I84</f>
        <v/>
      </c>
      <c r="M84" s="52">
        <f>BAZA_AUTOCOLOR!R84</f>
        <v/>
      </c>
      <c r="N84" s="52">
        <f>BAZA_AUTOCOLOR!S84</f>
        <v/>
      </c>
    </row>
    <row r="85" ht="40" customHeight="1">
      <c r="A85" s="52">
        <f>BAZA_AUTOCOLOR!A85</f>
        <v/>
      </c>
      <c r="B85" s="52">
        <f>BAZA_AUTOCOLOR!B85</f>
        <v/>
      </c>
      <c r="C85" s="52">
        <f>BAZA_AUTOCOLOR!C85</f>
        <v/>
      </c>
      <c r="D85" s="52">
        <f>BAZA_AUTOCOLOR!G85</f>
        <v/>
      </c>
      <c r="E85" s="52">
        <f>BAZA_AUTOCOLOR!K85</f>
        <v/>
      </c>
      <c r="F85" s="52">
        <f>BAZA_AUTOCOLOR!F85</f>
        <v/>
      </c>
      <c r="G85" s="52">
        <f>BAZA_AUTOCOLOR!L85</f>
        <v/>
      </c>
      <c r="H85" s="52">
        <f>BAZA_AUTOCOLOR!M85</f>
        <v/>
      </c>
      <c r="I85" s="52">
        <f>BAZA_AUTOCOLOR!J85</f>
        <v/>
      </c>
      <c r="J85" s="52">
        <f>BAZA_AUTOCOLOR!O85</f>
        <v/>
      </c>
      <c r="K85" s="52">
        <f>BAZA_AUTOCOLOR!H85</f>
        <v/>
      </c>
      <c r="L85" s="52">
        <f>BAZA_AUTOCOLOR!I85</f>
        <v/>
      </c>
      <c r="M85" s="52">
        <f>BAZA_AUTOCOLOR!R85</f>
        <v/>
      </c>
      <c r="N85" s="52">
        <f>BAZA_AUTOCOLOR!S85</f>
        <v/>
      </c>
    </row>
    <row r="86" ht="40" customHeight="1">
      <c r="A86" s="52">
        <f>BAZA_AUTOCOLOR!A86</f>
        <v/>
      </c>
      <c r="B86" s="52">
        <f>BAZA_AUTOCOLOR!B86</f>
        <v/>
      </c>
      <c r="C86" s="52">
        <f>BAZA_AUTOCOLOR!C86</f>
        <v/>
      </c>
      <c r="D86" s="52">
        <f>BAZA_AUTOCOLOR!G86</f>
        <v/>
      </c>
      <c r="E86" s="52">
        <f>BAZA_AUTOCOLOR!K86</f>
        <v/>
      </c>
      <c r="F86" s="52">
        <f>BAZA_AUTOCOLOR!F86</f>
        <v/>
      </c>
      <c r="G86" s="52">
        <f>BAZA_AUTOCOLOR!L86</f>
        <v/>
      </c>
      <c r="H86" s="52">
        <f>BAZA_AUTOCOLOR!M86</f>
        <v/>
      </c>
      <c r="I86" s="52">
        <f>BAZA_AUTOCOLOR!J86</f>
        <v/>
      </c>
      <c r="J86" s="52">
        <f>BAZA_AUTOCOLOR!O86</f>
        <v/>
      </c>
      <c r="K86" s="52">
        <f>BAZA_AUTOCOLOR!H86</f>
        <v/>
      </c>
      <c r="L86" s="52">
        <f>BAZA_AUTOCOLOR!I86</f>
        <v/>
      </c>
      <c r="M86" s="52">
        <f>BAZA_AUTOCOLOR!R86</f>
        <v/>
      </c>
      <c r="N86" s="52">
        <f>BAZA_AUTOCOLOR!S86</f>
        <v/>
      </c>
    </row>
    <row r="87" ht="40" customHeight="1">
      <c r="A87" s="52">
        <f>BAZA_AUTOCOLOR!A87</f>
        <v/>
      </c>
      <c r="B87" s="52">
        <f>BAZA_AUTOCOLOR!B87</f>
        <v/>
      </c>
      <c r="C87" s="52">
        <f>BAZA_AUTOCOLOR!C87</f>
        <v/>
      </c>
      <c r="D87" s="52">
        <f>BAZA_AUTOCOLOR!G87</f>
        <v/>
      </c>
      <c r="E87" s="52">
        <f>BAZA_AUTOCOLOR!K87</f>
        <v/>
      </c>
      <c r="F87" s="52">
        <f>BAZA_AUTOCOLOR!F87</f>
        <v/>
      </c>
      <c r="G87" s="52">
        <f>BAZA_AUTOCOLOR!L87</f>
        <v/>
      </c>
      <c r="H87" s="52">
        <f>BAZA_AUTOCOLOR!M87</f>
        <v/>
      </c>
      <c r="I87" s="52">
        <f>BAZA_AUTOCOLOR!J87</f>
        <v/>
      </c>
      <c r="J87" s="52">
        <f>BAZA_AUTOCOLOR!O87</f>
        <v/>
      </c>
      <c r="K87" s="52">
        <f>BAZA_AUTOCOLOR!H87</f>
        <v/>
      </c>
      <c r="L87" s="52">
        <f>BAZA_AUTOCOLOR!I87</f>
        <v/>
      </c>
      <c r="M87" s="52">
        <f>BAZA_AUTOCOLOR!R87</f>
        <v/>
      </c>
      <c r="N87" s="52">
        <f>BAZA_AUTOCOLOR!S87</f>
        <v/>
      </c>
    </row>
    <row r="88" ht="40" customHeight="1">
      <c r="A88" s="52">
        <f>BAZA_AUTOCOLOR!A88</f>
        <v/>
      </c>
      <c r="B88" s="52">
        <f>BAZA_AUTOCOLOR!B88</f>
        <v/>
      </c>
      <c r="C88" s="52">
        <f>BAZA_AUTOCOLOR!C88</f>
        <v/>
      </c>
      <c r="D88" s="52">
        <f>BAZA_AUTOCOLOR!G88</f>
        <v/>
      </c>
      <c r="E88" s="52">
        <f>BAZA_AUTOCOLOR!K88</f>
        <v/>
      </c>
      <c r="F88" s="52">
        <f>BAZA_AUTOCOLOR!F88</f>
        <v/>
      </c>
      <c r="G88" s="52">
        <f>BAZA_AUTOCOLOR!L88</f>
        <v/>
      </c>
      <c r="H88" s="52">
        <f>BAZA_AUTOCOLOR!M88</f>
        <v/>
      </c>
      <c r="I88" s="52">
        <f>BAZA_AUTOCOLOR!J88</f>
        <v/>
      </c>
      <c r="J88" s="52">
        <f>BAZA_AUTOCOLOR!O88</f>
        <v/>
      </c>
      <c r="K88" s="52">
        <f>BAZA_AUTOCOLOR!H88</f>
        <v/>
      </c>
      <c r="L88" s="52">
        <f>BAZA_AUTOCOLOR!I88</f>
        <v/>
      </c>
      <c r="M88" s="52">
        <f>BAZA_AUTOCOLOR!R88</f>
        <v/>
      </c>
      <c r="N88" s="52">
        <f>BAZA_AUTOCOLOR!S88</f>
        <v/>
      </c>
    </row>
    <row r="89" ht="40" customHeight="1">
      <c r="A89" s="52">
        <f>BAZA_AUTOCOLOR!A89</f>
        <v/>
      </c>
      <c r="B89" s="52">
        <f>BAZA_AUTOCOLOR!B89</f>
        <v/>
      </c>
      <c r="C89" s="52">
        <f>BAZA_AUTOCOLOR!C89</f>
        <v/>
      </c>
      <c r="D89" s="52">
        <f>BAZA_AUTOCOLOR!G89</f>
        <v/>
      </c>
      <c r="E89" s="52">
        <f>BAZA_AUTOCOLOR!K89</f>
        <v/>
      </c>
      <c r="F89" s="52">
        <f>BAZA_AUTOCOLOR!F89</f>
        <v/>
      </c>
      <c r="G89" s="52">
        <f>BAZA_AUTOCOLOR!L89</f>
        <v/>
      </c>
      <c r="H89" s="52">
        <f>BAZA_AUTOCOLOR!M89</f>
        <v/>
      </c>
      <c r="I89" s="52">
        <f>BAZA_AUTOCOLOR!J89</f>
        <v/>
      </c>
      <c r="J89" s="52">
        <f>BAZA_AUTOCOLOR!O89</f>
        <v/>
      </c>
      <c r="K89" s="52">
        <f>BAZA_AUTOCOLOR!H89</f>
        <v/>
      </c>
      <c r="L89" s="52">
        <f>BAZA_AUTOCOLOR!I89</f>
        <v/>
      </c>
      <c r="M89" s="52">
        <f>BAZA_AUTOCOLOR!R89</f>
        <v/>
      </c>
      <c r="N89" s="52">
        <f>BAZA_AUTOCOLOR!S89</f>
        <v/>
      </c>
    </row>
    <row r="90" ht="40" customHeight="1">
      <c r="A90" s="52">
        <f>BAZA_AUTOCOLOR!A90</f>
        <v/>
      </c>
      <c r="B90" s="52">
        <f>BAZA_AUTOCOLOR!B90</f>
        <v/>
      </c>
      <c r="C90" s="52">
        <f>BAZA_AUTOCOLOR!C90</f>
        <v/>
      </c>
      <c r="D90" s="52">
        <f>BAZA_AUTOCOLOR!G90</f>
        <v/>
      </c>
      <c r="E90" s="52">
        <f>BAZA_AUTOCOLOR!K90</f>
        <v/>
      </c>
      <c r="F90" s="52">
        <f>BAZA_AUTOCOLOR!F90</f>
        <v/>
      </c>
      <c r="G90" s="52">
        <f>BAZA_AUTOCOLOR!L90</f>
        <v/>
      </c>
      <c r="H90" s="52">
        <f>BAZA_AUTOCOLOR!M90</f>
        <v/>
      </c>
      <c r="I90" s="52">
        <f>BAZA_AUTOCOLOR!J90</f>
        <v/>
      </c>
      <c r="J90" s="52">
        <f>BAZA_AUTOCOLOR!O90</f>
        <v/>
      </c>
      <c r="K90" s="52">
        <f>BAZA_AUTOCOLOR!H90</f>
        <v/>
      </c>
      <c r="L90" s="52">
        <f>BAZA_AUTOCOLOR!I90</f>
        <v/>
      </c>
      <c r="M90" s="52">
        <f>BAZA_AUTOCOLOR!R90</f>
        <v/>
      </c>
      <c r="N90" s="52">
        <f>BAZA_AUTOCOLOR!S90</f>
        <v/>
      </c>
    </row>
    <row r="91" ht="40" customHeight="1">
      <c r="A91" s="52">
        <f>BAZA_AUTOCOLOR!A91</f>
        <v/>
      </c>
      <c r="B91" s="52">
        <f>BAZA_AUTOCOLOR!B91</f>
        <v/>
      </c>
      <c r="C91" s="52">
        <f>BAZA_AUTOCOLOR!C91</f>
        <v/>
      </c>
      <c r="D91" s="52">
        <f>BAZA_AUTOCOLOR!G91</f>
        <v/>
      </c>
      <c r="E91" s="52">
        <f>BAZA_AUTOCOLOR!K91</f>
        <v/>
      </c>
      <c r="F91" s="52">
        <f>BAZA_AUTOCOLOR!F91</f>
        <v/>
      </c>
      <c r="G91" s="52">
        <f>BAZA_AUTOCOLOR!L91</f>
        <v/>
      </c>
      <c r="H91" s="52">
        <f>BAZA_AUTOCOLOR!M91</f>
        <v/>
      </c>
      <c r="I91" s="52">
        <f>BAZA_AUTOCOLOR!J91</f>
        <v/>
      </c>
      <c r="J91" s="52">
        <f>BAZA_AUTOCOLOR!O91</f>
        <v/>
      </c>
      <c r="K91" s="52">
        <f>BAZA_AUTOCOLOR!H91</f>
        <v/>
      </c>
      <c r="L91" s="52">
        <f>BAZA_AUTOCOLOR!I91</f>
        <v/>
      </c>
      <c r="M91" s="52">
        <f>BAZA_AUTOCOLOR!R91</f>
        <v/>
      </c>
      <c r="N91" s="52">
        <f>BAZA_AUTOCOLOR!S91</f>
        <v/>
      </c>
    </row>
    <row r="92" ht="40" customHeight="1">
      <c r="A92" s="52">
        <f>BAZA_AUTOCOLOR!A92</f>
        <v/>
      </c>
      <c r="B92" s="52">
        <f>BAZA_AUTOCOLOR!B92</f>
        <v/>
      </c>
      <c r="C92" s="52">
        <f>BAZA_AUTOCOLOR!C92</f>
        <v/>
      </c>
      <c r="D92" s="52">
        <f>BAZA_AUTOCOLOR!G92</f>
        <v/>
      </c>
      <c r="E92" s="52">
        <f>BAZA_AUTOCOLOR!K92</f>
        <v/>
      </c>
      <c r="F92" s="52">
        <f>BAZA_AUTOCOLOR!F92</f>
        <v/>
      </c>
      <c r="G92" s="52">
        <f>BAZA_AUTOCOLOR!L92</f>
        <v/>
      </c>
      <c r="H92" s="52">
        <f>BAZA_AUTOCOLOR!M92</f>
        <v/>
      </c>
      <c r="I92" s="52">
        <f>BAZA_AUTOCOLOR!J92</f>
        <v/>
      </c>
      <c r="J92" s="52">
        <f>BAZA_AUTOCOLOR!O92</f>
        <v/>
      </c>
      <c r="K92" s="52">
        <f>BAZA_AUTOCOLOR!H92</f>
        <v/>
      </c>
      <c r="L92" s="52">
        <f>BAZA_AUTOCOLOR!I92</f>
        <v/>
      </c>
      <c r="M92" s="52">
        <f>BAZA_AUTOCOLOR!R92</f>
        <v/>
      </c>
      <c r="N92" s="52">
        <f>BAZA_AUTOCOLOR!S92</f>
        <v/>
      </c>
    </row>
    <row r="93" ht="40" customHeight="1">
      <c r="A93" s="52">
        <f>BAZA_AUTOCOLOR!A93</f>
        <v/>
      </c>
      <c r="B93" s="52">
        <f>BAZA_AUTOCOLOR!B93</f>
        <v/>
      </c>
      <c r="C93" s="52">
        <f>BAZA_AUTOCOLOR!C93</f>
        <v/>
      </c>
      <c r="D93" s="52">
        <f>BAZA_AUTOCOLOR!G93</f>
        <v/>
      </c>
      <c r="E93" s="52">
        <f>BAZA_AUTOCOLOR!K93</f>
        <v/>
      </c>
      <c r="F93" s="52">
        <f>BAZA_AUTOCOLOR!F93</f>
        <v/>
      </c>
      <c r="G93" s="52">
        <f>BAZA_AUTOCOLOR!L93</f>
        <v/>
      </c>
      <c r="H93" s="52">
        <f>BAZA_AUTOCOLOR!M93</f>
        <v/>
      </c>
      <c r="I93" s="52">
        <f>BAZA_AUTOCOLOR!J93</f>
        <v/>
      </c>
      <c r="J93" s="52">
        <f>BAZA_AUTOCOLOR!O93</f>
        <v/>
      </c>
      <c r="K93" s="52">
        <f>BAZA_AUTOCOLOR!H93</f>
        <v/>
      </c>
      <c r="L93" s="52">
        <f>BAZA_AUTOCOLOR!I93</f>
        <v/>
      </c>
      <c r="M93" s="52">
        <f>BAZA_AUTOCOLOR!R93</f>
        <v/>
      </c>
      <c r="N93" s="52">
        <f>BAZA_AUTOCOLOR!S93</f>
        <v/>
      </c>
    </row>
    <row r="94" ht="40" customHeight="1">
      <c r="A94" s="52">
        <f>BAZA_AUTOCOLOR!A94</f>
        <v/>
      </c>
      <c r="B94" s="52">
        <f>BAZA_AUTOCOLOR!B94</f>
        <v/>
      </c>
      <c r="C94" s="52">
        <f>BAZA_AUTOCOLOR!C94</f>
        <v/>
      </c>
      <c r="D94" s="52">
        <f>BAZA_AUTOCOLOR!G94</f>
        <v/>
      </c>
      <c r="E94" s="52">
        <f>BAZA_AUTOCOLOR!K94</f>
        <v/>
      </c>
      <c r="F94" s="52">
        <f>BAZA_AUTOCOLOR!F94</f>
        <v/>
      </c>
      <c r="G94" s="52">
        <f>BAZA_AUTOCOLOR!L94</f>
        <v/>
      </c>
      <c r="H94" s="52">
        <f>BAZA_AUTOCOLOR!M94</f>
        <v/>
      </c>
      <c r="I94" s="52">
        <f>BAZA_AUTOCOLOR!J94</f>
        <v/>
      </c>
      <c r="J94" s="52">
        <f>BAZA_AUTOCOLOR!O94</f>
        <v/>
      </c>
      <c r="K94" s="52">
        <f>BAZA_AUTOCOLOR!H94</f>
        <v/>
      </c>
      <c r="L94" s="52">
        <f>BAZA_AUTOCOLOR!I94</f>
        <v/>
      </c>
      <c r="M94" s="52">
        <f>BAZA_AUTOCOLOR!R94</f>
        <v/>
      </c>
      <c r="N94" s="52">
        <f>BAZA_AUTOCOLOR!S94</f>
        <v/>
      </c>
    </row>
    <row r="95" ht="40" customHeight="1">
      <c r="A95" s="52">
        <f>BAZA_AUTOCOLOR!A95</f>
        <v/>
      </c>
      <c r="B95" s="52">
        <f>BAZA_AUTOCOLOR!B95</f>
        <v/>
      </c>
      <c r="C95" s="52">
        <f>BAZA_AUTOCOLOR!C95</f>
        <v/>
      </c>
      <c r="D95" s="52">
        <f>BAZA_AUTOCOLOR!G95</f>
        <v/>
      </c>
      <c r="E95" s="52">
        <f>BAZA_AUTOCOLOR!K95</f>
        <v/>
      </c>
      <c r="F95" s="52">
        <f>BAZA_AUTOCOLOR!F95</f>
        <v/>
      </c>
      <c r="G95" s="52">
        <f>BAZA_AUTOCOLOR!L95</f>
        <v/>
      </c>
      <c r="H95" s="52">
        <f>BAZA_AUTOCOLOR!M95</f>
        <v/>
      </c>
      <c r="I95" s="52">
        <f>BAZA_AUTOCOLOR!J95</f>
        <v/>
      </c>
      <c r="J95" s="52">
        <f>BAZA_AUTOCOLOR!O95</f>
        <v/>
      </c>
      <c r="K95" s="52">
        <f>BAZA_AUTOCOLOR!H95</f>
        <v/>
      </c>
      <c r="L95" s="52">
        <f>BAZA_AUTOCOLOR!I95</f>
        <v/>
      </c>
      <c r="M95" s="52">
        <f>BAZA_AUTOCOLOR!R95</f>
        <v/>
      </c>
      <c r="N95" s="52">
        <f>BAZA_AUTOCOLOR!S95</f>
        <v/>
      </c>
    </row>
    <row r="96" ht="40" customHeight="1">
      <c r="A96" s="52">
        <f>BAZA_AUTOCOLOR!A96</f>
        <v/>
      </c>
      <c r="B96" s="52">
        <f>BAZA_AUTOCOLOR!B96</f>
        <v/>
      </c>
      <c r="C96" s="52">
        <f>BAZA_AUTOCOLOR!C96</f>
        <v/>
      </c>
      <c r="D96" s="52">
        <f>BAZA_AUTOCOLOR!G96</f>
        <v/>
      </c>
      <c r="E96" s="52">
        <f>BAZA_AUTOCOLOR!K96</f>
        <v/>
      </c>
      <c r="F96" s="52">
        <f>BAZA_AUTOCOLOR!F96</f>
        <v/>
      </c>
      <c r="G96" s="52">
        <f>BAZA_AUTOCOLOR!L96</f>
        <v/>
      </c>
      <c r="H96" s="52">
        <f>BAZA_AUTOCOLOR!M96</f>
        <v/>
      </c>
      <c r="I96" s="52">
        <f>BAZA_AUTOCOLOR!J96</f>
        <v/>
      </c>
      <c r="J96" s="52">
        <f>BAZA_AUTOCOLOR!O96</f>
        <v/>
      </c>
      <c r="K96" s="52">
        <f>BAZA_AUTOCOLOR!H96</f>
        <v/>
      </c>
      <c r="L96" s="52">
        <f>BAZA_AUTOCOLOR!I96</f>
        <v/>
      </c>
      <c r="M96" s="52">
        <f>BAZA_AUTOCOLOR!R96</f>
        <v/>
      </c>
      <c r="N96" s="52">
        <f>BAZA_AUTOCOLOR!S96</f>
        <v/>
      </c>
    </row>
    <row r="97" ht="40" customHeight="1">
      <c r="A97" s="52">
        <f>BAZA_AUTOCOLOR!A97</f>
        <v/>
      </c>
      <c r="B97" s="52">
        <f>BAZA_AUTOCOLOR!B97</f>
        <v/>
      </c>
      <c r="C97" s="52">
        <f>BAZA_AUTOCOLOR!C97</f>
        <v/>
      </c>
      <c r="D97" s="52">
        <f>BAZA_AUTOCOLOR!G97</f>
        <v/>
      </c>
      <c r="E97" s="52">
        <f>BAZA_AUTOCOLOR!K97</f>
        <v/>
      </c>
      <c r="F97" s="52">
        <f>BAZA_AUTOCOLOR!F97</f>
        <v/>
      </c>
      <c r="G97" s="52">
        <f>BAZA_AUTOCOLOR!L97</f>
        <v/>
      </c>
      <c r="H97" s="52">
        <f>BAZA_AUTOCOLOR!M97</f>
        <v/>
      </c>
      <c r="I97" s="52">
        <f>BAZA_AUTOCOLOR!J97</f>
        <v/>
      </c>
      <c r="J97" s="52">
        <f>BAZA_AUTOCOLOR!O97</f>
        <v/>
      </c>
      <c r="K97" s="52">
        <f>BAZA_AUTOCOLOR!H97</f>
        <v/>
      </c>
      <c r="L97" s="52">
        <f>BAZA_AUTOCOLOR!I97</f>
        <v/>
      </c>
      <c r="M97" s="52">
        <f>BAZA_AUTOCOLOR!R97</f>
        <v/>
      </c>
      <c r="N97" s="52">
        <f>BAZA_AUTOCOLOR!S97</f>
        <v/>
      </c>
    </row>
    <row r="98" ht="40" customHeight="1">
      <c r="A98" s="52">
        <f>BAZA_AUTOCOLOR!A98</f>
        <v/>
      </c>
      <c r="B98" s="52">
        <f>BAZA_AUTOCOLOR!B98</f>
        <v/>
      </c>
      <c r="C98" s="52">
        <f>BAZA_AUTOCOLOR!C98</f>
        <v/>
      </c>
      <c r="D98" s="52">
        <f>BAZA_AUTOCOLOR!G98</f>
        <v/>
      </c>
      <c r="E98" s="52">
        <f>BAZA_AUTOCOLOR!K98</f>
        <v/>
      </c>
      <c r="F98" s="52">
        <f>BAZA_AUTOCOLOR!F98</f>
        <v/>
      </c>
      <c r="G98" s="52">
        <f>BAZA_AUTOCOLOR!L98</f>
        <v/>
      </c>
      <c r="H98" s="52">
        <f>BAZA_AUTOCOLOR!M98</f>
        <v/>
      </c>
      <c r="I98" s="52">
        <f>BAZA_AUTOCOLOR!J98</f>
        <v/>
      </c>
      <c r="J98" s="52">
        <f>BAZA_AUTOCOLOR!O98</f>
        <v/>
      </c>
      <c r="K98" s="52">
        <f>BAZA_AUTOCOLOR!H98</f>
        <v/>
      </c>
      <c r="L98" s="52">
        <f>BAZA_AUTOCOLOR!I98</f>
        <v/>
      </c>
      <c r="M98" s="52">
        <f>BAZA_AUTOCOLOR!R98</f>
        <v/>
      </c>
      <c r="N98" s="52">
        <f>BAZA_AUTOCOLOR!S98</f>
        <v/>
      </c>
    </row>
    <row r="99" ht="40" customHeight="1">
      <c r="A99" s="52">
        <f>BAZA_AUTOCOLOR!A99</f>
        <v/>
      </c>
      <c r="B99" s="52">
        <f>BAZA_AUTOCOLOR!B99</f>
        <v/>
      </c>
      <c r="C99" s="52">
        <f>BAZA_AUTOCOLOR!C99</f>
        <v/>
      </c>
      <c r="D99" s="52">
        <f>BAZA_AUTOCOLOR!G99</f>
        <v/>
      </c>
      <c r="E99" s="52">
        <f>BAZA_AUTOCOLOR!K99</f>
        <v/>
      </c>
      <c r="F99" s="52">
        <f>BAZA_AUTOCOLOR!F99</f>
        <v/>
      </c>
      <c r="G99" s="52">
        <f>BAZA_AUTOCOLOR!L99</f>
        <v/>
      </c>
      <c r="H99" s="52">
        <f>BAZA_AUTOCOLOR!M99</f>
        <v/>
      </c>
      <c r="I99" s="52">
        <f>BAZA_AUTOCOLOR!J99</f>
        <v/>
      </c>
      <c r="J99" s="52">
        <f>BAZA_AUTOCOLOR!O99</f>
        <v/>
      </c>
      <c r="K99" s="52">
        <f>BAZA_AUTOCOLOR!H99</f>
        <v/>
      </c>
      <c r="L99" s="52">
        <f>BAZA_AUTOCOLOR!I99</f>
        <v/>
      </c>
      <c r="M99" s="52">
        <f>BAZA_AUTOCOLOR!R99</f>
        <v/>
      </c>
      <c r="N99" s="52">
        <f>BAZA_AUTOCOLOR!S99</f>
        <v/>
      </c>
    </row>
    <row r="100" ht="40" customHeight="1">
      <c r="A100" s="52">
        <f>BAZA_AUTOCOLOR!A100</f>
        <v/>
      </c>
      <c r="B100" s="52">
        <f>BAZA_AUTOCOLOR!B100</f>
        <v/>
      </c>
      <c r="C100" s="52">
        <f>BAZA_AUTOCOLOR!C100</f>
        <v/>
      </c>
      <c r="D100" s="52">
        <f>BAZA_AUTOCOLOR!G100</f>
        <v/>
      </c>
      <c r="E100" s="52">
        <f>BAZA_AUTOCOLOR!K100</f>
        <v/>
      </c>
      <c r="F100" s="52">
        <f>BAZA_AUTOCOLOR!F100</f>
        <v/>
      </c>
      <c r="G100" s="52">
        <f>BAZA_AUTOCOLOR!L100</f>
        <v/>
      </c>
      <c r="H100" s="52">
        <f>BAZA_AUTOCOLOR!M100</f>
        <v/>
      </c>
      <c r="I100" s="52">
        <f>BAZA_AUTOCOLOR!J100</f>
        <v/>
      </c>
      <c r="J100" s="52">
        <f>BAZA_AUTOCOLOR!O100</f>
        <v/>
      </c>
      <c r="K100" s="52">
        <f>BAZA_AUTOCOLOR!H100</f>
        <v/>
      </c>
      <c r="L100" s="52">
        <f>BAZA_AUTOCOLOR!I100</f>
        <v/>
      </c>
      <c r="M100" s="52">
        <f>BAZA_AUTOCOLOR!R100</f>
        <v/>
      </c>
      <c r="N100" s="52">
        <f>BAZA_AUTOCOLOR!S100</f>
        <v/>
      </c>
    </row>
    <row r="101" ht="40" customHeight="1">
      <c r="A101" s="52">
        <f>BAZA_AUTOCOLOR!A101</f>
        <v/>
      </c>
      <c r="B101" s="52">
        <f>BAZA_AUTOCOLOR!B101</f>
        <v/>
      </c>
      <c r="C101" s="52">
        <f>BAZA_AUTOCOLOR!C101</f>
        <v/>
      </c>
      <c r="D101" s="52">
        <f>BAZA_AUTOCOLOR!G101</f>
        <v/>
      </c>
      <c r="E101" s="52">
        <f>BAZA_AUTOCOLOR!K101</f>
        <v/>
      </c>
      <c r="F101" s="52">
        <f>BAZA_AUTOCOLOR!F101</f>
        <v/>
      </c>
      <c r="G101" s="52">
        <f>BAZA_AUTOCOLOR!L101</f>
        <v/>
      </c>
      <c r="H101" s="52">
        <f>BAZA_AUTOCOLOR!M101</f>
        <v/>
      </c>
      <c r="I101" s="52">
        <f>BAZA_AUTOCOLOR!J101</f>
        <v/>
      </c>
      <c r="J101" s="52">
        <f>BAZA_AUTOCOLOR!O101</f>
        <v/>
      </c>
      <c r="K101" s="52">
        <f>BAZA_AUTOCOLOR!H101</f>
        <v/>
      </c>
      <c r="L101" s="52">
        <f>BAZA_AUTOCOLOR!I101</f>
        <v/>
      </c>
      <c r="M101" s="52">
        <f>BAZA_AUTOCOLOR!R101</f>
        <v/>
      </c>
      <c r="N101" s="52">
        <f>BAZA_AUTOCOLOR!S101</f>
        <v/>
      </c>
    </row>
    <row r="102" ht="40" customHeight="1">
      <c r="A102" s="52">
        <f>BAZA_AUTOCOLOR!A102</f>
        <v/>
      </c>
      <c r="B102" s="52">
        <f>BAZA_AUTOCOLOR!B102</f>
        <v/>
      </c>
      <c r="C102" s="52">
        <f>BAZA_AUTOCOLOR!C102</f>
        <v/>
      </c>
      <c r="D102" s="52">
        <f>BAZA_AUTOCOLOR!G102</f>
        <v/>
      </c>
      <c r="E102" s="52">
        <f>BAZA_AUTOCOLOR!K102</f>
        <v/>
      </c>
      <c r="F102" s="52">
        <f>BAZA_AUTOCOLOR!F102</f>
        <v/>
      </c>
      <c r="G102" s="52">
        <f>BAZA_AUTOCOLOR!L102</f>
        <v/>
      </c>
      <c r="H102" s="52">
        <f>BAZA_AUTOCOLOR!M102</f>
        <v/>
      </c>
      <c r="I102" s="52">
        <f>BAZA_AUTOCOLOR!J102</f>
        <v/>
      </c>
      <c r="J102" s="52">
        <f>BAZA_AUTOCOLOR!O102</f>
        <v/>
      </c>
      <c r="K102" s="52">
        <f>BAZA_AUTOCOLOR!H102</f>
        <v/>
      </c>
      <c r="L102" s="52">
        <f>BAZA_AUTOCOLOR!I102</f>
        <v/>
      </c>
      <c r="M102" s="52">
        <f>BAZA_AUTOCOLOR!R102</f>
        <v/>
      </c>
      <c r="N102" s="52">
        <f>BAZA_AUTOCOLOR!S102</f>
        <v/>
      </c>
    </row>
    <row r="103" ht="40" customHeight="1">
      <c r="A103" s="52">
        <f>BAZA_AUTOCOLOR!A103</f>
        <v/>
      </c>
      <c r="B103" s="52">
        <f>BAZA_AUTOCOLOR!B103</f>
        <v/>
      </c>
      <c r="C103" s="52">
        <f>BAZA_AUTOCOLOR!C103</f>
        <v/>
      </c>
      <c r="D103" s="52">
        <f>BAZA_AUTOCOLOR!G103</f>
        <v/>
      </c>
      <c r="E103" s="52">
        <f>BAZA_AUTOCOLOR!K103</f>
        <v/>
      </c>
      <c r="F103" s="52">
        <f>BAZA_AUTOCOLOR!F103</f>
        <v/>
      </c>
      <c r="G103" s="52">
        <f>BAZA_AUTOCOLOR!L103</f>
        <v/>
      </c>
      <c r="H103" s="52">
        <f>BAZA_AUTOCOLOR!M103</f>
        <v/>
      </c>
      <c r="I103" s="52">
        <f>BAZA_AUTOCOLOR!J103</f>
        <v/>
      </c>
      <c r="J103" s="52">
        <f>BAZA_AUTOCOLOR!O103</f>
        <v/>
      </c>
      <c r="K103" s="52">
        <f>BAZA_AUTOCOLOR!H103</f>
        <v/>
      </c>
      <c r="L103" s="52">
        <f>BAZA_AUTOCOLOR!I103</f>
        <v/>
      </c>
      <c r="M103" s="52">
        <f>BAZA_AUTOCOLOR!R103</f>
        <v/>
      </c>
      <c r="N103" s="52">
        <f>BAZA_AUTOCOLOR!S103</f>
        <v/>
      </c>
    </row>
    <row r="104" ht="40" customHeight="1">
      <c r="A104" s="52">
        <f>BAZA_AUTOCOLOR!A104</f>
        <v/>
      </c>
      <c r="B104" s="52">
        <f>BAZA_AUTOCOLOR!B104</f>
        <v/>
      </c>
      <c r="C104" s="52">
        <f>BAZA_AUTOCOLOR!C104</f>
        <v/>
      </c>
      <c r="D104" s="52">
        <f>BAZA_AUTOCOLOR!G104</f>
        <v/>
      </c>
      <c r="E104" s="52">
        <f>BAZA_AUTOCOLOR!K104</f>
        <v/>
      </c>
      <c r="F104" s="52">
        <f>BAZA_AUTOCOLOR!F104</f>
        <v/>
      </c>
      <c r="G104" s="52">
        <f>BAZA_AUTOCOLOR!L104</f>
        <v/>
      </c>
      <c r="H104" s="52">
        <f>BAZA_AUTOCOLOR!M104</f>
        <v/>
      </c>
      <c r="I104" s="52">
        <f>BAZA_AUTOCOLOR!J104</f>
        <v/>
      </c>
      <c r="J104" s="52">
        <f>BAZA_AUTOCOLOR!O104</f>
        <v/>
      </c>
      <c r="K104" s="52">
        <f>BAZA_AUTOCOLOR!H104</f>
        <v/>
      </c>
      <c r="L104" s="52">
        <f>BAZA_AUTOCOLOR!I104</f>
        <v/>
      </c>
      <c r="M104" s="52">
        <f>BAZA_AUTOCOLOR!R104</f>
        <v/>
      </c>
      <c r="N104" s="52">
        <f>BAZA_AUTOCOLOR!S104</f>
        <v/>
      </c>
    </row>
    <row r="105" ht="40" customHeight="1">
      <c r="A105" s="52">
        <f>BAZA_AUTOCOLOR!A105</f>
        <v/>
      </c>
      <c r="B105" s="52">
        <f>BAZA_AUTOCOLOR!B105</f>
        <v/>
      </c>
      <c r="C105" s="52">
        <f>BAZA_AUTOCOLOR!C105</f>
        <v/>
      </c>
      <c r="D105" s="52">
        <f>BAZA_AUTOCOLOR!G105</f>
        <v/>
      </c>
      <c r="E105" s="52">
        <f>BAZA_AUTOCOLOR!K105</f>
        <v/>
      </c>
      <c r="F105" s="52">
        <f>BAZA_AUTOCOLOR!F105</f>
        <v/>
      </c>
      <c r="G105" s="52">
        <f>BAZA_AUTOCOLOR!L105</f>
        <v/>
      </c>
      <c r="H105" s="52">
        <f>BAZA_AUTOCOLOR!M105</f>
        <v/>
      </c>
      <c r="I105" s="52">
        <f>BAZA_AUTOCOLOR!J105</f>
        <v/>
      </c>
      <c r="J105" s="52">
        <f>BAZA_AUTOCOLOR!O105</f>
        <v/>
      </c>
      <c r="K105" s="52">
        <f>BAZA_AUTOCOLOR!H105</f>
        <v/>
      </c>
      <c r="L105" s="52">
        <f>BAZA_AUTOCOLOR!I105</f>
        <v/>
      </c>
      <c r="M105" s="52">
        <f>BAZA_AUTOCOLOR!R105</f>
        <v/>
      </c>
      <c r="N105" s="52">
        <f>BAZA_AUTOCOLOR!S105</f>
        <v/>
      </c>
    </row>
    <row r="106" ht="40" customHeight="1">
      <c r="A106" s="52">
        <f>BAZA_AUTOCOLOR!A106</f>
        <v/>
      </c>
      <c r="B106" s="52">
        <f>BAZA_AUTOCOLOR!B106</f>
        <v/>
      </c>
      <c r="C106" s="52">
        <f>BAZA_AUTOCOLOR!C106</f>
        <v/>
      </c>
      <c r="D106" s="52">
        <f>BAZA_AUTOCOLOR!G106</f>
        <v/>
      </c>
      <c r="E106" s="52">
        <f>BAZA_AUTOCOLOR!K106</f>
        <v/>
      </c>
      <c r="F106" s="52">
        <f>BAZA_AUTOCOLOR!F106</f>
        <v/>
      </c>
      <c r="G106" s="52">
        <f>BAZA_AUTOCOLOR!L106</f>
        <v/>
      </c>
      <c r="H106" s="52">
        <f>BAZA_AUTOCOLOR!M106</f>
        <v/>
      </c>
      <c r="I106" s="52">
        <f>BAZA_AUTOCOLOR!J106</f>
        <v/>
      </c>
      <c r="J106" s="52">
        <f>BAZA_AUTOCOLOR!O106</f>
        <v/>
      </c>
      <c r="K106" s="52">
        <f>BAZA_AUTOCOLOR!H106</f>
        <v/>
      </c>
      <c r="L106" s="52">
        <f>BAZA_AUTOCOLOR!I106</f>
        <v/>
      </c>
      <c r="M106" s="52">
        <f>BAZA_AUTOCOLOR!R106</f>
        <v/>
      </c>
      <c r="N106" s="52">
        <f>BAZA_AUTOCOLOR!S106</f>
        <v/>
      </c>
    </row>
    <row r="107" ht="40" customHeight="1">
      <c r="A107" s="52">
        <f>BAZA_AUTOCOLOR!A107</f>
        <v/>
      </c>
      <c r="B107" s="52">
        <f>BAZA_AUTOCOLOR!B107</f>
        <v/>
      </c>
      <c r="C107" s="52">
        <f>BAZA_AUTOCOLOR!C107</f>
        <v/>
      </c>
      <c r="D107" s="52">
        <f>BAZA_AUTOCOLOR!G107</f>
        <v/>
      </c>
      <c r="E107" s="52">
        <f>BAZA_AUTOCOLOR!K107</f>
        <v/>
      </c>
      <c r="F107" s="52">
        <f>BAZA_AUTOCOLOR!F107</f>
        <v/>
      </c>
      <c r="G107" s="52">
        <f>BAZA_AUTOCOLOR!L107</f>
        <v/>
      </c>
      <c r="H107" s="52">
        <f>BAZA_AUTOCOLOR!M107</f>
        <v/>
      </c>
      <c r="I107" s="52">
        <f>BAZA_AUTOCOLOR!J107</f>
        <v/>
      </c>
      <c r="J107" s="52">
        <f>BAZA_AUTOCOLOR!O107</f>
        <v/>
      </c>
      <c r="K107" s="52">
        <f>BAZA_AUTOCOLOR!H107</f>
        <v/>
      </c>
      <c r="L107" s="52">
        <f>BAZA_AUTOCOLOR!I107</f>
        <v/>
      </c>
      <c r="M107" s="52">
        <f>BAZA_AUTOCOLOR!R107</f>
        <v/>
      </c>
      <c r="N107" s="52">
        <f>BAZA_AUTOCOLOR!S107</f>
        <v/>
      </c>
    </row>
    <row r="108" ht="40" customHeight="1">
      <c r="A108" s="52">
        <f>BAZA_AUTOCOLOR!A108</f>
        <v/>
      </c>
      <c r="B108" s="52">
        <f>BAZA_AUTOCOLOR!B108</f>
        <v/>
      </c>
      <c r="C108" s="52">
        <f>BAZA_AUTOCOLOR!C108</f>
        <v/>
      </c>
      <c r="D108" s="52">
        <f>BAZA_AUTOCOLOR!G108</f>
        <v/>
      </c>
      <c r="E108" s="52">
        <f>BAZA_AUTOCOLOR!K108</f>
        <v/>
      </c>
      <c r="F108" s="52">
        <f>BAZA_AUTOCOLOR!F108</f>
        <v/>
      </c>
      <c r="G108" s="52">
        <f>BAZA_AUTOCOLOR!L108</f>
        <v/>
      </c>
      <c r="H108" s="52">
        <f>BAZA_AUTOCOLOR!M108</f>
        <v/>
      </c>
      <c r="I108" s="52">
        <f>BAZA_AUTOCOLOR!J108</f>
        <v/>
      </c>
      <c r="J108" s="52">
        <f>BAZA_AUTOCOLOR!O108</f>
        <v/>
      </c>
      <c r="K108" s="52">
        <f>BAZA_AUTOCOLOR!H108</f>
        <v/>
      </c>
      <c r="L108" s="52">
        <f>BAZA_AUTOCOLOR!I108</f>
        <v/>
      </c>
      <c r="M108" s="52">
        <f>BAZA_AUTOCOLOR!R108</f>
        <v/>
      </c>
      <c r="N108" s="52">
        <f>BAZA_AUTOCOLOR!S108</f>
        <v/>
      </c>
    </row>
    <row r="109" ht="40" customHeight="1">
      <c r="A109" s="52">
        <f>BAZA_AUTOCOLOR!A109</f>
        <v/>
      </c>
      <c r="B109" s="52">
        <f>BAZA_AUTOCOLOR!B109</f>
        <v/>
      </c>
      <c r="C109" s="52">
        <f>BAZA_AUTOCOLOR!C109</f>
        <v/>
      </c>
      <c r="D109" s="52">
        <f>BAZA_AUTOCOLOR!G109</f>
        <v/>
      </c>
      <c r="E109" s="52">
        <f>BAZA_AUTOCOLOR!K109</f>
        <v/>
      </c>
      <c r="F109" s="52">
        <f>BAZA_AUTOCOLOR!F109</f>
        <v/>
      </c>
      <c r="G109" s="52">
        <f>BAZA_AUTOCOLOR!L109</f>
        <v/>
      </c>
      <c r="H109" s="52">
        <f>BAZA_AUTOCOLOR!M109</f>
        <v/>
      </c>
      <c r="I109" s="52">
        <f>BAZA_AUTOCOLOR!J109</f>
        <v/>
      </c>
      <c r="J109" s="52">
        <f>BAZA_AUTOCOLOR!O109</f>
        <v/>
      </c>
      <c r="K109" s="52">
        <f>BAZA_AUTOCOLOR!H109</f>
        <v/>
      </c>
      <c r="L109" s="52">
        <f>BAZA_AUTOCOLOR!I109</f>
        <v/>
      </c>
      <c r="M109" s="52">
        <f>BAZA_AUTOCOLOR!R109</f>
        <v/>
      </c>
      <c r="N109" s="52">
        <f>BAZA_AUTOCOLOR!S109</f>
        <v/>
      </c>
    </row>
    <row r="110" ht="40" customHeight="1">
      <c r="A110" s="52">
        <f>BAZA_AUTOCOLOR!A110</f>
        <v/>
      </c>
      <c r="B110" s="52">
        <f>BAZA_AUTOCOLOR!B110</f>
        <v/>
      </c>
      <c r="C110" s="52">
        <f>BAZA_AUTOCOLOR!C110</f>
        <v/>
      </c>
      <c r="D110" s="52">
        <f>BAZA_AUTOCOLOR!G110</f>
        <v/>
      </c>
      <c r="E110" s="52">
        <f>BAZA_AUTOCOLOR!K110</f>
        <v/>
      </c>
      <c r="F110" s="52">
        <f>BAZA_AUTOCOLOR!F110</f>
        <v/>
      </c>
      <c r="G110" s="52">
        <f>BAZA_AUTOCOLOR!L110</f>
        <v/>
      </c>
      <c r="H110" s="52">
        <f>BAZA_AUTOCOLOR!M110</f>
        <v/>
      </c>
      <c r="I110" s="52">
        <f>BAZA_AUTOCOLOR!J110</f>
        <v/>
      </c>
      <c r="J110" s="52">
        <f>BAZA_AUTOCOLOR!O110</f>
        <v/>
      </c>
      <c r="K110" s="52">
        <f>BAZA_AUTOCOLOR!H110</f>
        <v/>
      </c>
      <c r="L110" s="52">
        <f>BAZA_AUTOCOLOR!I110</f>
        <v/>
      </c>
      <c r="M110" s="52">
        <f>BAZA_AUTOCOLOR!R110</f>
        <v/>
      </c>
      <c r="N110" s="52">
        <f>BAZA_AUTOCOLOR!S110</f>
        <v/>
      </c>
    </row>
    <row r="111" ht="40" customHeight="1">
      <c r="A111" s="52">
        <f>BAZA_AUTOCOLOR!A111</f>
        <v/>
      </c>
      <c r="B111" s="52">
        <f>BAZA_AUTOCOLOR!B111</f>
        <v/>
      </c>
      <c r="C111" s="52">
        <f>BAZA_AUTOCOLOR!C111</f>
        <v/>
      </c>
      <c r="D111" s="52">
        <f>BAZA_AUTOCOLOR!G111</f>
        <v/>
      </c>
      <c r="E111" s="52">
        <f>BAZA_AUTOCOLOR!K111</f>
        <v/>
      </c>
      <c r="F111" s="52">
        <f>BAZA_AUTOCOLOR!F111</f>
        <v/>
      </c>
      <c r="G111" s="52">
        <f>BAZA_AUTOCOLOR!L111</f>
        <v/>
      </c>
      <c r="H111" s="52">
        <f>BAZA_AUTOCOLOR!M111</f>
        <v/>
      </c>
      <c r="I111" s="52">
        <f>BAZA_AUTOCOLOR!J111</f>
        <v/>
      </c>
      <c r="J111" s="52">
        <f>BAZA_AUTOCOLOR!O111</f>
        <v/>
      </c>
      <c r="K111" s="52">
        <f>BAZA_AUTOCOLOR!H111</f>
        <v/>
      </c>
      <c r="L111" s="52">
        <f>BAZA_AUTOCOLOR!I111</f>
        <v/>
      </c>
      <c r="M111" s="52">
        <f>BAZA_AUTOCOLOR!R111</f>
        <v/>
      </c>
      <c r="N111" s="52">
        <f>BAZA_AUTOCOLOR!S111</f>
        <v/>
      </c>
    </row>
    <row r="112" ht="40" customHeight="1">
      <c r="A112" s="52">
        <f>BAZA_AUTOCOLOR!A112</f>
        <v/>
      </c>
      <c r="B112" s="52">
        <f>BAZA_AUTOCOLOR!B112</f>
        <v/>
      </c>
      <c r="C112" s="52">
        <f>BAZA_AUTOCOLOR!C112</f>
        <v/>
      </c>
      <c r="D112" s="52">
        <f>BAZA_AUTOCOLOR!G112</f>
        <v/>
      </c>
      <c r="E112" s="52">
        <f>BAZA_AUTOCOLOR!K112</f>
        <v/>
      </c>
      <c r="F112" s="52">
        <f>BAZA_AUTOCOLOR!F112</f>
        <v/>
      </c>
      <c r="G112" s="52">
        <f>BAZA_AUTOCOLOR!L112</f>
        <v/>
      </c>
      <c r="H112" s="52">
        <f>BAZA_AUTOCOLOR!M112</f>
        <v/>
      </c>
      <c r="I112" s="52">
        <f>BAZA_AUTOCOLOR!J112</f>
        <v/>
      </c>
      <c r="J112" s="52">
        <f>BAZA_AUTOCOLOR!O112</f>
        <v/>
      </c>
      <c r="K112" s="52">
        <f>BAZA_AUTOCOLOR!H112</f>
        <v/>
      </c>
      <c r="L112" s="52">
        <f>BAZA_AUTOCOLOR!I112</f>
        <v/>
      </c>
      <c r="M112" s="52">
        <f>BAZA_AUTOCOLOR!R112</f>
        <v/>
      </c>
      <c r="N112" s="52">
        <f>BAZA_AUTOCOLOR!S112</f>
        <v/>
      </c>
    </row>
    <row r="113" ht="40" customHeight="1">
      <c r="A113" s="52">
        <f>BAZA_AUTOCOLOR!A113</f>
        <v/>
      </c>
      <c r="B113" s="52">
        <f>BAZA_AUTOCOLOR!B113</f>
        <v/>
      </c>
      <c r="C113" s="52">
        <f>BAZA_AUTOCOLOR!C113</f>
        <v/>
      </c>
      <c r="D113" s="52">
        <f>BAZA_AUTOCOLOR!G113</f>
        <v/>
      </c>
      <c r="E113" s="52">
        <f>BAZA_AUTOCOLOR!K113</f>
        <v/>
      </c>
      <c r="F113" s="52">
        <f>BAZA_AUTOCOLOR!F113</f>
        <v/>
      </c>
      <c r="G113" s="52">
        <f>BAZA_AUTOCOLOR!L113</f>
        <v/>
      </c>
      <c r="H113" s="52">
        <f>BAZA_AUTOCOLOR!M113</f>
        <v/>
      </c>
      <c r="I113" s="52">
        <f>BAZA_AUTOCOLOR!J113</f>
        <v/>
      </c>
      <c r="J113" s="52">
        <f>BAZA_AUTOCOLOR!O113</f>
        <v/>
      </c>
      <c r="K113" s="52">
        <f>BAZA_AUTOCOLOR!H113</f>
        <v/>
      </c>
      <c r="L113" s="52">
        <f>BAZA_AUTOCOLOR!I113</f>
        <v/>
      </c>
      <c r="M113" s="52">
        <f>BAZA_AUTOCOLOR!R113</f>
        <v/>
      </c>
      <c r="N113" s="52">
        <f>BAZA_AUTOCOLOR!S113</f>
        <v/>
      </c>
    </row>
    <row r="114" ht="40" customHeight="1">
      <c r="A114" s="52">
        <f>BAZA_AUTOCOLOR!A114</f>
        <v/>
      </c>
      <c r="B114" s="52">
        <f>BAZA_AUTOCOLOR!B114</f>
        <v/>
      </c>
      <c r="C114" s="52">
        <f>BAZA_AUTOCOLOR!C114</f>
        <v/>
      </c>
      <c r="D114" s="52">
        <f>BAZA_AUTOCOLOR!G114</f>
        <v/>
      </c>
      <c r="E114" s="52">
        <f>BAZA_AUTOCOLOR!K114</f>
        <v/>
      </c>
      <c r="F114" s="52">
        <f>BAZA_AUTOCOLOR!F114</f>
        <v/>
      </c>
      <c r="G114" s="52">
        <f>BAZA_AUTOCOLOR!L114</f>
        <v/>
      </c>
      <c r="H114" s="52">
        <f>BAZA_AUTOCOLOR!M114</f>
        <v/>
      </c>
      <c r="I114" s="52">
        <f>BAZA_AUTOCOLOR!J114</f>
        <v/>
      </c>
      <c r="J114" s="52">
        <f>BAZA_AUTOCOLOR!O114</f>
        <v/>
      </c>
      <c r="K114" s="52">
        <f>BAZA_AUTOCOLOR!H114</f>
        <v/>
      </c>
      <c r="L114" s="52">
        <f>BAZA_AUTOCOLOR!I114</f>
        <v/>
      </c>
      <c r="M114" s="52">
        <f>BAZA_AUTOCOLOR!R114</f>
        <v/>
      </c>
      <c r="N114" s="52">
        <f>BAZA_AUTOCOLOR!S114</f>
        <v/>
      </c>
    </row>
    <row r="115" ht="40" customHeight="1">
      <c r="A115" s="52">
        <f>BAZA_AUTOCOLOR!A115</f>
        <v/>
      </c>
      <c r="B115" s="52">
        <f>BAZA_AUTOCOLOR!B115</f>
        <v/>
      </c>
      <c r="C115" s="52">
        <f>BAZA_AUTOCOLOR!C115</f>
        <v/>
      </c>
      <c r="D115" s="52">
        <f>BAZA_AUTOCOLOR!G115</f>
        <v/>
      </c>
      <c r="E115" s="52">
        <f>BAZA_AUTOCOLOR!K115</f>
        <v/>
      </c>
      <c r="F115" s="52">
        <f>BAZA_AUTOCOLOR!F115</f>
        <v/>
      </c>
      <c r="G115" s="52">
        <f>BAZA_AUTOCOLOR!L115</f>
        <v/>
      </c>
      <c r="H115" s="52">
        <f>BAZA_AUTOCOLOR!M115</f>
        <v/>
      </c>
      <c r="I115" s="52">
        <f>BAZA_AUTOCOLOR!J115</f>
        <v/>
      </c>
      <c r="J115" s="52">
        <f>BAZA_AUTOCOLOR!O115</f>
        <v/>
      </c>
      <c r="K115" s="52">
        <f>BAZA_AUTOCOLOR!H115</f>
        <v/>
      </c>
      <c r="L115" s="52">
        <f>BAZA_AUTOCOLOR!I115</f>
        <v/>
      </c>
      <c r="M115" s="52">
        <f>BAZA_AUTOCOLOR!R115</f>
        <v/>
      </c>
      <c r="N115" s="52">
        <f>BAZA_AUTOCOLOR!S115</f>
        <v/>
      </c>
    </row>
    <row r="116" ht="40" customHeight="1">
      <c r="A116" s="52">
        <f>BAZA_DUXONE!A9</f>
        <v/>
      </c>
      <c r="B116" s="52">
        <f>BAZA_DUXONE!B9</f>
        <v/>
      </c>
      <c r="C116" s="52">
        <f>BAZA_DUXONE!C9</f>
        <v/>
      </c>
      <c r="D116" s="52">
        <f>BAZA_DUXONE!G9</f>
        <v/>
      </c>
      <c r="E116" s="52">
        <f>BAZA_DUXONE!K9</f>
        <v/>
      </c>
      <c r="F116" s="52">
        <f>BAZA_DUXONE!F9</f>
        <v/>
      </c>
      <c r="G116" s="52">
        <f>BAZA_DUXONE!L9</f>
        <v/>
      </c>
      <c r="H116" s="52">
        <f>BAZA_DUXONE!M9</f>
        <v/>
      </c>
      <c r="I116" s="52">
        <f>BAZA_DUXONE!J9</f>
        <v/>
      </c>
      <c r="J116" s="52">
        <f>BAZA_DUXONE!O9</f>
        <v/>
      </c>
      <c r="K116" s="52">
        <f>BAZA_DUXONE!H9</f>
        <v/>
      </c>
      <c r="L116" s="52">
        <f>BAZA_DUXONE!I9</f>
        <v/>
      </c>
      <c r="M116" s="52">
        <f>BAZA_DUXONE!R9</f>
        <v/>
      </c>
      <c r="N116" s="52">
        <f>BAZA_DUXONE!S9</f>
        <v/>
      </c>
    </row>
    <row r="117" ht="40" customHeight="1">
      <c r="A117" s="52">
        <f>BAZA_DUXONE!A10</f>
        <v/>
      </c>
      <c r="B117" s="52">
        <f>BAZA_DUXONE!B10</f>
        <v/>
      </c>
      <c r="C117" s="52">
        <f>BAZA_DUXONE!C10</f>
        <v/>
      </c>
      <c r="D117" s="52">
        <f>BAZA_DUXONE!G10</f>
        <v/>
      </c>
      <c r="E117" s="52">
        <f>BAZA_DUXONE!K10</f>
        <v/>
      </c>
      <c r="F117" s="52">
        <f>BAZA_DUXONE!F10</f>
        <v/>
      </c>
      <c r="G117" s="52">
        <f>BAZA_DUXONE!L10</f>
        <v/>
      </c>
      <c r="H117" s="52">
        <f>BAZA_DUXONE!M10</f>
        <v/>
      </c>
      <c r="I117" s="52">
        <f>BAZA_DUXONE!J10</f>
        <v/>
      </c>
      <c r="J117" s="52">
        <f>BAZA_DUXONE!O10</f>
        <v/>
      </c>
      <c r="K117" s="52">
        <f>BAZA_DUXONE!H10</f>
        <v/>
      </c>
      <c r="L117" s="52">
        <f>BAZA_DUXONE!I10</f>
        <v/>
      </c>
      <c r="M117" s="52">
        <f>BAZA_DUXONE!R10</f>
        <v/>
      </c>
      <c r="N117" s="52">
        <f>BAZA_DUXONE!S10</f>
        <v/>
      </c>
    </row>
    <row r="118" ht="40" customHeight="1">
      <c r="A118" s="52">
        <f>BAZA_DUXONE!A11</f>
        <v/>
      </c>
      <c r="B118" s="52">
        <f>BAZA_DUXONE!B11</f>
        <v/>
      </c>
      <c r="C118" s="52">
        <f>BAZA_DUXONE!C11</f>
        <v/>
      </c>
      <c r="D118" s="52">
        <f>BAZA_DUXONE!G11</f>
        <v/>
      </c>
      <c r="E118" s="52">
        <f>BAZA_DUXONE!K11</f>
        <v/>
      </c>
      <c r="F118" s="52">
        <f>BAZA_DUXONE!F11</f>
        <v/>
      </c>
      <c r="G118" s="52">
        <f>BAZA_DUXONE!L11</f>
        <v/>
      </c>
      <c r="H118" s="52">
        <f>BAZA_DUXONE!M11</f>
        <v/>
      </c>
      <c r="I118" s="52">
        <f>BAZA_DUXONE!J11</f>
        <v/>
      </c>
      <c r="J118" s="52">
        <f>BAZA_DUXONE!O11</f>
        <v/>
      </c>
      <c r="K118" s="52">
        <f>BAZA_DUXONE!H11</f>
        <v/>
      </c>
      <c r="L118" s="52">
        <f>BAZA_DUXONE!I11</f>
        <v/>
      </c>
      <c r="M118" s="52">
        <f>BAZA_DUXONE!R11</f>
        <v/>
      </c>
      <c r="N118" s="52">
        <f>BAZA_DUXONE!S11</f>
        <v/>
      </c>
    </row>
    <row r="119" ht="40" customHeight="1">
      <c r="A119" s="52">
        <f>BAZA_DUXONE!A12</f>
        <v/>
      </c>
      <c r="B119" s="52">
        <f>BAZA_DUXONE!B12</f>
        <v/>
      </c>
      <c r="C119" s="52">
        <f>BAZA_DUXONE!C12</f>
        <v/>
      </c>
      <c r="D119" s="52">
        <f>BAZA_DUXONE!G12</f>
        <v/>
      </c>
      <c r="E119" s="52">
        <f>BAZA_DUXONE!K12</f>
        <v/>
      </c>
      <c r="F119" s="52">
        <f>BAZA_DUXONE!F12</f>
        <v/>
      </c>
      <c r="G119" s="52">
        <f>BAZA_DUXONE!L12</f>
        <v/>
      </c>
      <c r="H119" s="52">
        <f>BAZA_DUXONE!M12</f>
        <v/>
      </c>
      <c r="I119" s="52">
        <f>BAZA_DUXONE!J12</f>
        <v/>
      </c>
      <c r="J119" s="52">
        <f>BAZA_DUXONE!O12</f>
        <v/>
      </c>
      <c r="K119" s="52">
        <f>BAZA_DUXONE!H12</f>
        <v/>
      </c>
      <c r="L119" s="52">
        <f>BAZA_DUXONE!I12</f>
        <v/>
      </c>
      <c r="M119" s="52">
        <f>BAZA_DUXONE!R12</f>
        <v/>
      </c>
      <c r="N119" s="52">
        <f>BAZA_DUXONE!S12</f>
        <v/>
      </c>
    </row>
    <row r="120" ht="40" customHeight="1">
      <c r="A120" s="52">
        <f>BAZA_DUXONE!A13</f>
        <v/>
      </c>
      <c r="B120" s="52">
        <f>BAZA_DUXONE!B13</f>
        <v/>
      </c>
      <c r="C120" s="52">
        <f>BAZA_DUXONE!C13</f>
        <v/>
      </c>
      <c r="D120" s="52">
        <f>BAZA_DUXONE!G13</f>
        <v/>
      </c>
      <c r="E120" s="52">
        <f>BAZA_DUXONE!K13</f>
        <v/>
      </c>
      <c r="F120" s="52">
        <f>BAZA_DUXONE!F13</f>
        <v/>
      </c>
      <c r="G120" s="52">
        <f>BAZA_DUXONE!L13</f>
        <v/>
      </c>
      <c r="H120" s="52">
        <f>BAZA_DUXONE!M13</f>
        <v/>
      </c>
      <c r="I120" s="52">
        <f>BAZA_DUXONE!J13</f>
        <v/>
      </c>
      <c r="J120" s="52">
        <f>BAZA_DUXONE!O13</f>
        <v/>
      </c>
      <c r="K120" s="52">
        <f>BAZA_DUXONE!H13</f>
        <v/>
      </c>
      <c r="L120" s="52">
        <f>BAZA_DUXONE!I13</f>
        <v/>
      </c>
      <c r="M120" s="52">
        <f>BAZA_DUXONE!R13</f>
        <v/>
      </c>
      <c r="N120" s="52">
        <f>BAZA_DUXONE!S13</f>
        <v/>
      </c>
    </row>
    <row r="121" ht="40" customHeight="1">
      <c r="A121" s="52">
        <f>BAZA_DUXONE!A14</f>
        <v/>
      </c>
      <c r="B121" s="52">
        <f>BAZA_DUXONE!B14</f>
        <v/>
      </c>
      <c r="C121" s="52">
        <f>BAZA_DUXONE!C14</f>
        <v/>
      </c>
      <c r="D121" s="52">
        <f>BAZA_DUXONE!G14</f>
        <v/>
      </c>
      <c r="E121" s="52">
        <f>BAZA_DUXONE!K14</f>
        <v/>
      </c>
      <c r="F121" s="52">
        <f>BAZA_DUXONE!F14</f>
        <v/>
      </c>
      <c r="G121" s="52">
        <f>BAZA_DUXONE!L14</f>
        <v/>
      </c>
      <c r="H121" s="52">
        <f>BAZA_DUXONE!M14</f>
        <v/>
      </c>
      <c r="I121" s="52">
        <f>BAZA_DUXONE!J14</f>
        <v/>
      </c>
      <c r="J121" s="52">
        <f>BAZA_DUXONE!O14</f>
        <v/>
      </c>
      <c r="K121" s="52">
        <f>BAZA_DUXONE!H14</f>
        <v/>
      </c>
      <c r="L121" s="52">
        <f>BAZA_DUXONE!I14</f>
        <v/>
      </c>
      <c r="M121" s="52">
        <f>BAZA_DUXONE!R14</f>
        <v/>
      </c>
      <c r="N121" s="52">
        <f>BAZA_DUXONE!S14</f>
        <v/>
      </c>
    </row>
    <row r="122" ht="40" customHeight="1">
      <c r="A122" s="52">
        <f>BAZA_DUXONE!A15</f>
        <v/>
      </c>
      <c r="B122" s="52">
        <f>BAZA_DUXONE!B15</f>
        <v/>
      </c>
      <c r="C122" s="52">
        <f>BAZA_DUXONE!C15</f>
        <v/>
      </c>
      <c r="D122" s="52">
        <f>BAZA_DUXONE!G15</f>
        <v/>
      </c>
      <c r="E122" s="52">
        <f>BAZA_DUXONE!K15</f>
        <v/>
      </c>
      <c r="F122" s="52">
        <f>BAZA_DUXONE!F15</f>
        <v/>
      </c>
      <c r="G122" s="52">
        <f>BAZA_DUXONE!L15</f>
        <v/>
      </c>
      <c r="H122" s="52">
        <f>BAZA_DUXONE!M15</f>
        <v/>
      </c>
      <c r="I122" s="52">
        <f>BAZA_DUXONE!J15</f>
        <v/>
      </c>
      <c r="J122" s="52">
        <f>BAZA_DUXONE!O15</f>
        <v/>
      </c>
      <c r="K122" s="52">
        <f>BAZA_DUXONE!H15</f>
        <v/>
      </c>
      <c r="L122" s="52">
        <f>BAZA_DUXONE!I15</f>
        <v/>
      </c>
      <c r="M122" s="52">
        <f>BAZA_DUXONE!R15</f>
        <v/>
      </c>
      <c r="N122" s="52">
        <f>BAZA_DUXONE!S15</f>
        <v/>
      </c>
    </row>
    <row r="123" ht="40" customHeight="1">
      <c r="A123" s="52">
        <f>BAZA_DUXONE!A16</f>
        <v/>
      </c>
      <c r="B123" s="52">
        <f>BAZA_DUXONE!B16</f>
        <v/>
      </c>
      <c r="C123" s="52">
        <f>BAZA_DUXONE!C16</f>
        <v/>
      </c>
      <c r="D123" s="52">
        <f>BAZA_DUXONE!G16</f>
        <v/>
      </c>
      <c r="E123" s="52">
        <f>BAZA_DUXONE!K16</f>
        <v/>
      </c>
      <c r="F123" s="52">
        <f>BAZA_DUXONE!F16</f>
        <v/>
      </c>
      <c r="G123" s="52">
        <f>BAZA_DUXONE!L16</f>
        <v/>
      </c>
      <c r="H123" s="52">
        <f>BAZA_DUXONE!M16</f>
        <v/>
      </c>
      <c r="I123" s="52">
        <f>BAZA_DUXONE!J16</f>
        <v/>
      </c>
      <c r="J123" s="52">
        <f>BAZA_DUXONE!O16</f>
        <v/>
      </c>
      <c r="K123" s="52">
        <f>BAZA_DUXONE!H16</f>
        <v/>
      </c>
      <c r="L123" s="52">
        <f>BAZA_DUXONE!I16</f>
        <v/>
      </c>
      <c r="M123" s="52">
        <f>BAZA_DUXONE!R16</f>
        <v/>
      </c>
      <c r="N123" s="52">
        <f>BAZA_DUXONE!S16</f>
        <v/>
      </c>
    </row>
    <row r="124" ht="40" customHeight="1">
      <c r="A124" s="52">
        <f>BAZA_DUXONE!A17</f>
        <v/>
      </c>
      <c r="B124" s="52">
        <f>BAZA_DUXONE!B17</f>
        <v/>
      </c>
      <c r="C124" s="52">
        <f>BAZA_DUXONE!C17</f>
        <v/>
      </c>
      <c r="D124" s="52">
        <f>BAZA_DUXONE!G17</f>
        <v/>
      </c>
      <c r="E124" s="52">
        <f>BAZA_DUXONE!K17</f>
        <v/>
      </c>
      <c r="F124" s="52">
        <f>BAZA_DUXONE!F17</f>
        <v/>
      </c>
      <c r="G124" s="52">
        <f>BAZA_DUXONE!L17</f>
        <v/>
      </c>
      <c r="H124" s="52">
        <f>BAZA_DUXONE!M17</f>
        <v/>
      </c>
      <c r="I124" s="52">
        <f>BAZA_DUXONE!J17</f>
        <v/>
      </c>
      <c r="J124" s="52">
        <f>BAZA_DUXONE!O17</f>
        <v/>
      </c>
      <c r="K124" s="52">
        <f>BAZA_DUXONE!H17</f>
        <v/>
      </c>
      <c r="L124" s="52">
        <f>BAZA_DUXONE!I17</f>
        <v/>
      </c>
      <c r="M124" s="52">
        <f>BAZA_DUXONE!R17</f>
        <v/>
      </c>
      <c r="N124" s="52">
        <f>BAZA_DUXONE!S17</f>
        <v/>
      </c>
    </row>
    <row r="125" ht="40" customHeight="1">
      <c r="A125" s="52">
        <f>BAZA_DUXONE!A18</f>
        <v/>
      </c>
      <c r="B125" s="52">
        <f>BAZA_DUXONE!B18</f>
        <v/>
      </c>
      <c r="C125" s="52">
        <f>BAZA_DUXONE!C18</f>
        <v/>
      </c>
      <c r="D125" s="52">
        <f>BAZA_DUXONE!G18</f>
        <v/>
      </c>
      <c r="E125" s="52">
        <f>BAZA_DUXONE!K18</f>
        <v/>
      </c>
      <c r="F125" s="52">
        <f>BAZA_DUXONE!F18</f>
        <v/>
      </c>
      <c r="G125" s="52">
        <f>BAZA_DUXONE!L18</f>
        <v/>
      </c>
      <c r="H125" s="52">
        <f>BAZA_DUXONE!M18</f>
        <v/>
      </c>
      <c r="I125" s="52">
        <f>BAZA_DUXONE!J18</f>
        <v/>
      </c>
      <c r="J125" s="52">
        <f>BAZA_DUXONE!O18</f>
        <v/>
      </c>
      <c r="K125" s="52">
        <f>BAZA_DUXONE!H18</f>
        <v/>
      </c>
      <c r="L125" s="52">
        <f>BAZA_DUXONE!I18</f>
        <v/>
      </c>
      <c r="M125" s="52">
        <f>BAZA_DUXONE!R18</f>
        <v/>
      </c>
      <c r="N125" s="52">
        <f>BAZA_DUXONE!S18</f>
        <v/>
      </c>
    </row>
    <row r="126" ht="40" customHeight="1">
      <c r="A126" s="52">
        <f>BAZA_DUXONE!A19</f>
        <v/>
      </c>
      <c r="B126" s="52">
        <f>BAZA_DUXONE!B19</f>
        <v/>
      </c>
      <c r="C126" s="52">
        <f>BAZA_DUXONE!C19</f>
        <v/>
      </c>
      <c r="D126" s="52">
        <f>BAZA_DUXONE!G19</f>
        <v/>
      </c>
      <c r="E126" s="52">
        <f>BAZA_DUXONE!K19</f>
        <v/>
      </c>
      <c r="F126" s="52">
        <f>BAZA_DUXONE!F19</f>
        <v/>
      </c>
      <c r="G126" s="52">
        <f>BAZA_DUXONE!L19</f>
        <v/>
      </c>
      <c r="H126" s="52">
        <f>BAZA_DUXONE!M19</f>
        <v/>
      </c>
      <c r="I126" s="52">
        <f>BAZA_DUXONE!J19</f>
        <v/>
      </c>
      <c r="J126" s="52">
        <f>BAZA_DUXONE!O19</f>
        <v/>
      </c>
      <c r="K126" s="52">
        <f>BAZA_DUXONE!H19</f>
        <v/>
      </c>
      <c r="L126" s="52">
        <f>BAZA_DUXONE!I19</f>
        <v/>
      </c>
      <c r="M126" s="52">
        <f>BAZA_DUXONE!R19</f>
        <v/>
      </c>
      <c r="N126" s="52">
        <f>BAZA_DUXONE!S19</f>
        <v/>
      </c>
    </row>
    <row r="127" ht="40" customHeight="1">
      <c r="A127" s="52">
        <f>BAZA_DUXONE!A20</f>
        <v/>
      </c>
      <c r="B127" s="52">
        <f>BAZA_DUXONE!B20</f>
        <v/>
      </c>
      <c r="C127" s="52">
        <f>BAZA_DUXONE!C20</f>
        <v/>
      </c>
      <c r="D127" s="52">
        <f>BAZA_DUXONE!G20</f>
        <v/>
      </c>
      <c r="E127" s="52">
        <f>BAZA_DUXONE!K20</f>
        <v/>
      </c>
      <c r="F127" s="52">
        <f>BAZA_DUXONE!F20</f>
        <v/>
      </c>
      <c r="G127" s="52">
        <f>BAZA_DUXONE!L20</f>
        <v/>
      </c>
      <c r="H127" s="52">
        <f>BAZA_DUXONE!M20</f>
        <v/>
      </c>
      <c r="I127" s="52">
        <f>BAZA_DUXONE!J20</f>
        <v/>
      </c>
      <c r="J127" s="52">
        <f>BAZA_DUXONE!O20</f>
        <v/>
      </c>
      <c r="K127" s="52">
        <f>BAZA_DUXONE!H20</f>
        <v/>
      </c>
      <c r="L127" s="52">
        <f>BAZA_DUXONE!I20</f>
        <v/>
      </c>
      <c r="M127" s="52">
        <f>BAZA_DUXONE!R20</f>
        <v/>
      </c>
      <c r="N127" s="52">
        <f>BAZA_DUXONE!S20</f>
        <v/>
      </c>
    </row>
    <row r="128" ht="40" customHeight="1">
      <c r="A128" s="52">
        <f>BAZA_DUXONE!A21</f>
        <v/>
      </c>
      <c r="B128" s="52">
        <f>BAZA_DUXONE!B21</f>
        <v/>
      </c>
      <c r="C128" s="52">
        <f>BAZA_DUXONE!C21</f>
        <v/>
      </c>
      <c r="D128" s="52">
        <f>BAZA_DUXONE!G21</f>
        <v/>
      </c>
      <c r="E128" s="52">
        <f>BAZA_DUXONE!K21</f>
        <v/>
      </c>
      <c r="F128" s="52">
        <f>BAZA_DUXONE!F21</f>
        <v/>
      </c>
      <c r="G128" s="52">
        <f>BAZA_DUXONE!L21</f>
        <v/>
      </c>
      <c r="H128" s="52">
        <f>BAZA_DUXONE!M21</f>
        <v/>
      </c>
      <c r="I128" s="52">
        <f>BAZA_DUXONE!J21</f>
        <v/>
      </c>
      <c r="J128" s="52">
        <f>BAZA_DUXONE!O21</f>
        <v/>
      </c>
      <c r="K128" s="52">
        <f>BAZA_DUXONE!H21</f>
        <v/>
      </c>
      <c r="L128" s="52">
        <f>BAZA_DUXONE!I21</f>
        <v/>
      </c>
      <c r="M128" s="52">
        <f>BAZA_DUXONE!R21</f>
        <v/>
      </c>
      <c r="N128" s="52">
        <f>BAZA_DUXONE!S21</f>
        <v/>
      </c>
    </row>
    <row r="129" ht="40" customHeight="1">
      <c r="A129" s="52">
        <f>BAZA_DUXONE!A22</f>
        <v/>
      </c>
      <c r="B129" s="52">
        <f>BAZA_DUXONE!B22</f>
        <v/>
      </c>
      <c r="C129" s="52">
        <f>BAZA_DUXONE!C22</f>
        <v/>
      </c>
      <c r="D129" s="52">
        <f>BAZA_DUXONE!G22</f>
        <v/>
      </c>
      <c r="E129" s="52">
        <f>BAZA_DUXONE!K22</f>
        <v/>
      </c>
      <c r="F129" s="52">
        <f>BAZA_DUXONE!F22</f>
        <v/>
      </c>
      <c r="G129" s="52">
        <f>BAZA_DUXONE!L22</f>
        <v/>
      </c>
      <c r="H129" s="52">
        <f>BAZA_DUXONE!M22</f>
        <v/>
      </c>
      <c r="I129" s="52">
        <f>BAZA_DUXONE!J22</f>
        <v/>
      </c>
      <c r="J129" s="52">
        <f>BAZA_DUXONE!O22</f>
        <v/>
      </c>
      <c r="K129" s="52">
        <f>BAZA_DUXONE!H22</f>
        <v/>
      </c>
      <c r="L129" s="52">
        <f>BAZA_DUXONE!I22</f>
        <v/>
      </c>
      <c r="M129" s="52">
        <f>BAZA_DUXONE!R22</f>
        <v/>
      </c>
      <c r="N129" s="52">
        <f>BAZA_DUXONE!S22</f>
        <v/>
      </c>
    </row>
    <row r="130" ht="40" customHeight="1">
      <c r="A130" s="52">
        <f>BAZA_DUXONE!A23</f>
        <v/>
      </c>
      <c r="B130" s="52">
        <f>BAZA_DUXONE!B23</f>
        <v/>
      </c>
      <c r="C130" s="52">
        <f>BAZA_DUXONE!C23</f>
        <v/>
      </c>
      <c r="D130" s="52">
        <f>BAZA_DUXONE!G23</f>
        <v/>
      </c>
      <c r="E130" s="52">
        <f>BAZA_DUXONE!K23</f>
        <v/>
      </c>
      <c r="F130" s="52">
        <f>BAZA_DUXONE!F23</f>
        <v/>
      </c>
      <c r="G130" s="52">
        <f>BAZA_DUXONE!L23</f>
        <v/>
      </c>
      <c r="H130" s="52">
        <f>BAZA_DUXONE!M23</f>
        <v/>
      </c>
      <c r="I130" s="52">
        <f>BAZA_DUXONE!J23</f>
        <v/>
      </c>
      <c r="J130" s="52">
        <f>BAZA_DUXONE!O23</f>
        <v/>
      </c>
      <c r="K130" s="52">
        <f>BAZA_DUXONE!H23</f>
        <v/>
      </c>
      <c r="L130" s="52">
        <f>BAZA_DUXONE!I23</f>
        <v/>
      </c>
      <c r="M130" s="52">
        <f>BAZA_DUXONE!R23</f>
        <v/>
      </c>
      <c r="N130" s="52">
        <f>BAZA_DUXONE!S23</f>
        <v/>
      </c>
    </row>
    <row r="131" ht="40" customHeight="1">
      <c r="A131" s="52">
        <f>BAZA_DUXONE!A24</f>
        <v/>
      </c>
      <c r="B131" s="52">
        <f>BAZA_DUXONE!B24</f>
        <v/>
      </c>
      <c r="C131" s="52">
        <f>BAZA_DUXONE!C24</f>
        <v/>
      </c>
      <c r="D131" s="52">
        <f>BAZA_DUXONE!G24</f>
        <v/>
      </c>
      <c r="E131" s="52">
        <f>BAZA_DUXONE!K24</f>
        <v/>
      </c>
      <c r="F131" s="52">
        <f>BAZA_DUXONE!F24</f>
        <v/>
      </c>
      <c r="G131" s="52">
        <f>BAZA_DUXONE!L24</f>
        <v/>
      </c>
      <c r="H131" s="52">
        <f>BAZA_DUXONE!M24</f>
        <v/>
      </c>
      <c r="I131" s="52">
        <f>BAZA_DUXONE!J24</f>
        <v/>
      </c>
      <c r="J131" s="52">
        <f>BAZA_DUXONE!O24</f>
        <v/>
      </c>
      <c r="K131" s="52">
        <f>BAZA_DUXONE!H24</f>
        <v/>
      </c>
      <c r="L131" s="52">
        <f>BAZA_DUXONE!I24</f>
        <v/>
      </c>
      <c r="M131" s="52">
        <f>BAZA_DUXONE!R24</f>
        <v/>
      </c>
      <c r="N131" s="52">
        <f>BAZA_DUXONE!S24</f>
        <v/>
      </c>
    </row>
    <row r="132" ht="40" customHeight="1">
      <c r="A132" s="52">
        <f>BAZA_DUXONE!A25</f>
        <v/>
      </c>
      <c r="B132" s="52">
        <f>BAZA_DUXONE!B25</f>
        <v/>
      </c>
      <c r="C132" s="52">
        <f>BAZA_DUXONE!C25</f>
        <v/>
      </c>
      <c r="D132" s="52">
        <f>BAZA_DUXONE!G25</f>
        <v/>
      </c>
      <c r="E132" s="52">
        <f>BAZA_DUXONE!K25</f>
        <v/>
      </c>
      <c r="F132" s="52">
        <f>BAZA_DUXONE!F25</f>
        <v/>
      </c>
      <c r="G132" s="52">
        <f>BAZA_DUXONE!L25</f>
        <v/>
      </c>
      <c r="H132" s="52">
        <f>BAZA_DUXONE!M25</f>
        <v/>
      </c>
      <c r="I132" s="52">
        <f>BAZA_DUXONE!J25</f>
        <v/>
      </c>
      <c r="J132" s="52">
        <f>BAZA_DUXONE!O25</f>
        <v/>
      </c>
      <c r="K132" s="52">
        <f>BAZA_DUXONE!H25</f>
        <v/>
      </c>
      <c r="L132" s="52">
        <f>BAZA_DUXONE!I25</f>
        <v/>
      </c>
      <c r="M132" s="52">
        <f>BAZA_DUXONE!R25</f>
        <v/>
      </c>
      <c r="N132" s="52">
        <f>BAZA_DUXONE!S25</f>
        <v/>
      </c>
    </row>
    <row r="133" ht="40" customHeight="1">
      <c r="A133" s="52">
        <f>BAZA_DUXONE!A26</f>
        <v/>
      </c>
      <c r="B133" s="52">
        <f>BAZA_DUXONE!B26</f>
        <v/>
      </c>
      <c r="C133" s="52">
        <f>BAZA_DUXONE!C26</f>
        <v/>
      </c>
      <c r="D133" s="52">
        <f>BAZA_DUXONE!G26</f>
        <v/>
      </c>
      <c r="E133" s="52">
        <f>BAZA_DUXONE!K26</f>
        <v/>
      </c>
      <c r="F133" s="52">
        <f>BAZA_DUXONE!F26</f>
        <v/>
      </c>
      <c r="G133" s="52">
        <f>BAZA_DUXONE!L26</f>
        <v/>
      </c>
      <c r="H133" s="52">
        <f>BAZA_DUXONE!M26</f>
        <v/>
      </c>
      <c r="I133" s="52">
        <f>BAZA_DUXONE!J26</f>
        <v/>
      </c>
      <c r="J133" s="52">
        <f>BAZA_DUXONE!O26</f>
        <v/>
      </c>
      <c r="K133" s="52">
        <f>BAZA_DUXONE!H26</f>
        <v/>
      </c>
      <c r="L133" s="52">
        <f>BAZA_DUXONE!I26</f>
        <v/>
      </c>
      <c r="M133" s="52">
        <f>BAZA_DUXONE!R26</f>
        <v/>
      </c>
      <c r="N133" s="52">
        <f>BAZA_DUXONE!S26</f>
        <v/>
      </c>
    </row>
    <row r="134" ht="40" customHeight="1">
      <c r="A134" s="52">
        <f>BAZA_DUXONE!A27</f>
        <v/>
      </c>
      <c r="B134" s="52">
        <f>BAZA_DUXONE!B27</f>
        <v/>
      </c>
      <c r="C134" s="52">
        <f>BAZA_DUXONE!C27</f>
        <v/>
      </c>
      <c r="D134" s="52">
        <f>BAZA_DUXONE!G27</f>
        <v/>
      </c>
      <c r="E134" s="52">
        <f>BAZA_DUXONE!K27</f>
        <v/>
      </c>
      <c r="F134" s="52">
        <f>BAZA_DUXONE!F27</f>
        <v/>
      </c>
      <c r="G134" s="52">
        <f>BAZA_DUXONE!L27</f>
        <v/>
      </c>
      <c r="H134" s="52">
        <f>BAZA_DUXONE!M27</f>
        <v/>
      </c>
      <c r="I134" s="52">
        <f>BAZA_DUXONE!J27</f>
        <v/>
      </c>
      <c r="J134" s="52">
        <f>BAZA_DUXONE!O27</f>
        <v/>
      </c>
      <c r="K134" s="52">
        <f>BAZA_DUXONE!H27</f>
        <v/>
      </c>
      <c r="L134" s="52">
        <f>BAZA_DUXONE!I27</f>
        <v/>
      </c>
      <c r="M134" s="52">
        <f>BAZA_DUXONE!R27</f>
        <v/>
      </c>
      <c r="N134" s="52">
        <f>BAZA_DUXONE!S27</f>
        <v/>
      </c>
    </row>
    <row r="135" ht="40" customHeight="1">
      <c r="A135" s="52">
        <f>BAZA_DUXONE!A28</f>
        <v/>
      </c>
      <c r="B135" s="52">
        <f>BAZA_DUXONE!B28</f>
        <v/>
      </c>
      <c r="C135" s="52">
        <f>BAZA_DUXONE!C28</f>
        <v/>
      </c>
      <c r="D135" s="52">
        <f>BAZA_DUXONE!G28</f>
        <v/>
      </c>
      <c r="E135" s="52">
        <f>BAZA_DUXONE!K28</f>
        <v/>
      </c>
      <c r="F135" s="52">
        <f>BAZA_DUXONE!F28</f>
        <v/>
      </c>
      <c r="G135" s="52">
        <f>BAZA_DUXONE!L28</f>
        <v/>
      </c>
      <c r="H135" s="52">
        <f>BAZA_DUXONE!M28</f>
        <v/>
      </c>
      <c r="I135" s="52">
        <f>BAZA_DUXONE!J28</f>
        <v/>
      </c>
      <c r="J135" s="52">
        <f>BAZA_DUXONE!O28</f>
        <v/>
      </c>
      <c r="K135" s="52">
        <f>BAZA_DUXONE!H28</f>
        <v/>
      </c>
      <c r="L135" s="52">
        <f>BAZA_DUXONE!I28</f>
        <v/>
      </c>
      <c r="M135" s="52">
        <f>BAZA_DUXONE!R28</f>
        <v/>
      </c>
      <c r="N135" s="52">
        <f>BAZA_DUXONE!S28</f>
        <v/>
      </c>
    </row>
    <row r="136" ht="40" customHeight="1">
      <c r="A136" s="52">
        <f>BAZA_DUXONE!A29</f>
        <v/>
      </c>
      <c r="B136" s="52">
        <f>BAZA_DUXONE!B29</f>
        <v/>
      </c>
      <c r="C136" s="52">
        <f>BAZA_DUXONE!C29</f>
        <v/>
      </c>
      <c r="D136" s="52">
        <f>BAZA_DUXONE!G29</f>
        <v/>
      </c>
      <c r="E136" s="52">
        <f>BAZA_DUXONE!K29</f>
        <v/>
      </c>
      <c r="F136" s="52">
        <f>BAZA_DUXONE!F29</f>
        <v/>
      </c>
      <c r="G136" s="52">
        <f>BAZA_DUXONE!L29</f>
        <v/>
      </c>
      <c r="H136" s="52">
        <f>BAZA_DUXONE!M29</f>
        <v/>
      </c>
      <c r="I136" s="52">
        <f>BAZA_DUXONE!J29</f>
        <v/>
      </c>
      <c r="J136" s="52">
        <f>BAZA_DUXONE!O29</f>
        <v/>
      </c>
      <c r="K136" s="52">
        <f>BAZA_DUXONE!H29</f>
        <v/>
      </c>
      <c r="L136" s="52">
        <f>BAZA_DUXONE!I29</f>
        <v/>
      </c>
      <c r="M136" s="52">
        <f>BAZA_DUXONE!R29</f>
        <v/>
      </c>
      <c r="N136" s="52">
        <f>BAZA_DUXONE!S29</f>
        <v/>
      </c>
    </row>
    <row r="137" ht="40" customHeight="1">
      <c r="A137" s="52">
        <f>BAZA_DUXONE!A30</f>
        <v/>
      </c>
      <c r="B137" s="52">
        <f>BAZA_DUXONE!B30</f>
        <v/>
      </c>
      <c r="C137" s="52">
        <f>BAZA_DUXONE!C30</f>
        <v/>
      </c>
      <c r="D137" s="52">
        <f>BAZA_DUXONE!G30</f>
        <v/>
      </c>
      <c r="E137" s="52">
        <f>BAZA_DUXONE!K30</f>
        <v/>
      </c>
      <c r="F137" s="52">
        <f>BAZA_DUXONE!F30</f>
        <v/>
      </c>
      <c r="G137" s="52">
        <f>BAZA_DUXONE!L30</f>
        <v/>
      </c>
      <c r="H137" s="52">
        <f>BAZA_DUXONE!M30</f>
        <v/>
      </c>
      <c r="I137" s="52">
        <f>BAZA_DUXONE!J30</f>
        <v/>
      </c>
      <c r="J137" s="52">
        <f>BAZA_DUXONE!O30</f>
        <v/>
      </c>
      <c r="K137" s="52">
        <f>BAZA_DUXONE!H30</f>
        <v/>
      </c>
      <c r="L137" s="52">
        <f>BAZA_DUXONE!I30</f>
        <v/>
      </c>
      <c r="M137" s="52">
        <f>BAZA_DUXONE!R30</f>
        <v/>
      </c>
      <c r="N137" s="52">
        <f>BAZA_DUXONE!S30</f>
        <v/>
      </c>
    </row>
    <row r="138" ht="40" customHeight="1">
      <c r="A138" s="52">
        <f>BAZA_DUXONE!A31</f>
        <v/>
      </c>
      <c r="B138" s="52">
        <f>BAZA_DUXONE!B31</f>
        <v/>
      </c>
      <c r="C138" s="52">
        <f>BAZA_DUXONE!C31</f>
        <v/>
      </c>
      <c r="D138" s="52">
        <f>BAZA_DUXONE!G31</f>
        <v/>
      </c>
      <c r="E138" s="52">
        <f>BAZA_DUXONE!K31</f>
        <v/>
      </c>
      <c r="F138" s="52">
        <f>BAZA_DUXONE!F31</f>
        <v/>
      </c>
      <c r="G138" s="52">
        <f>BAZA_DUXONE!L31</f>
        <v/>
      </c>
      <c r="H138" s="52">
        <f>BAZA_DUXONE!M31</f>
        <v/>
      </c>
      <c r="I138" s="52">
        <f>BAZA_DUXONE!J31</f>
        <v/>
      </c>
      <c r="J138" s="52">
        <f>BAZA_DUXONE!O31</f>
        <v/>
      </c>
      <c r="K138" s="52">
        <f>BAZA_DUXONE!H31</f>
        <v/>
      </c>
      <c r="L138" s="52">
        <f>BAZA_DUXONE!I31</f>
        <v/>
      </c>
      <c r="M138" s="52">
        <f>BAZA_DUXONE!R31</f>
        <v/>
      </c>
      <c r="N138" s="52">
        <f>BAZA_DUXONE!S31</f>
        <v/>
      </c>
    </row>
    <row r="139" ht="40" customHeight="1">
      <c r="A139" s="52">
        <f>BAZA_DUXONE!A32</f>
        <v/>
      </c>
      <c r="B139" s="52">
        <f>BAZA_DUXONE!B32</f>
        <v/>
      </c>
      <c r="C139" s="52">
        <f>BAZA_DUXONE!C32</f>
        <v/>
      </c>
      <c r="D139" s="52">
        <f>BAZA_DUXONE!G32</f>
        <v/>
      </c>
      <c r="E139" s="52">
        <f>BAZA_DUXONE!K32</f>
        <v/>
      </c>
      <c r="F139" s="52">
        <f>BAZA_DUXONE!F32</f>
        <v/>
      </c>
      <c r="G139" s="52">
        <f>BAZA_DUXONE!L32</f>
        <v/>
      </c>
      <c r="H139" s="52">
        <f>BAZA_DUXONE!M32</f>
        <v/>
      </c>
      <c r="I139" s="52">
        <f>BAZA_DUXONE!J32</f>
        <v/>
      </c>
      <c r="J139" s="52">
        <f>BAZA_DUXONE!O32</f>
        <v/>
      </c>
      <c r="K139" s="52">
        <f>BAZA_DUXONE!H32</f>
        <v/>
      </c>
      <c r="L139" s="52">
        <f>BAZA_DUXONE!I32</f>
        <v/>
      </c>
      <c r="M139" s="52">
        <f>BAZA_DUXONE!R32</f>
        <v/>
      </c>
      <c r="N139" s="52">
        <f>BAZA_DUXONE!S32</f>
        <v/>
      </c>
    </row>
    <row r="140" ht="40" customHeight="1">
      <c r="A140" s="52">
        <f>BAZA_DUXONE!A33</f>
        <v/>
      </c>
      <c r="B140" s="52">
        <f>BAZA_DUXONE!B33</f>
        <v/>
      </c>
      <c r="C140" s="52">
        <f>BAZA_DUXONE!C33</f>
        <v/>
      </c>
      <c r="D140" s="52">
        <f>BAZA_DUXONE!G33</f>
        <v/>
      </c>
      <c r="E140" s="52">
        <f>BAZA_DUXONE!K33</f>
        <v/>
      </c>
      <c r="F140" s="52">
        <f>BAZA_DUXONE!F33</f>
        <v/>
      </c>
      <c r="G140" s="52">
        <f>BAZA_DUXONE!L33</f>
        <v/>
      </c>
      <c r="H140" s="52">
        <f>BAZA_DUXONE!M33</f>
        <v/>
      </c>
      <c r="I140" s="52">
        <f>BAZA_DUXONE!J33</f>
        <v/>
      </c>
      <c r="J140" s="52">
        <f>BAZA_DUXONE!O33</f>
        <v/>
      </c>
      <c r="K140" s="52">
        <f>BAZA_DUXONE!H33</f>
        <v/>
      </c>
      <c r="L140" s="52">
        <f>BAZA_DUXONE!I33</f>
        <v/>
      </c>
      <c r="M140" s="52">
        <f>BAZA_DUXONE!R33</f>
        <v/>
      </c>
      <c r="N140" s="52">
        <f>BAZA_DUXONE!S33</f>
        <v/>
      </c>
    </row>
    <row r="141" ht="40" customHeight="1">
      <c r="A141" s="52">
        <f>BAZA_DUXONE!A34</f>
        <v/>
      </c>
      <c r="B141" s="52">
        <f>BAZA_DUXONE!B34</f>
        <v/>
      </c>
      <c r="C141" s="52">
        <f>BAZA_DUXONE!C34</f>
        <v/>
      </c>
      <c r="D141" s="52">
        <f>BAZA_DUXONE!G34</f>
        <v/>
      </c>
      <c r="E141" s="52">
        <f>BAZA_DUXONE!K34</f>
        <v/>
      </c>
      <c r="F141" s="52">
        <f>BAZA_DUXONE!F34</f>
        <v/>
      </c>
      <c r="G141" s="52">
        <f>BAZA_DUXONE!L34</f>
        <v/>
      </c>
      <c r="H141" s="52">
        <f>BAZA_DUXONE!M34</f>
        <v/>
      </c>
      <c r="I141" s="52">
        <f>BAZA_DUXONE!J34</f>
        <v/>
      </c>
      <c r="J141" s="52">
        <f>BAZA_DUXONE!O34</f>
        <v/>
      </c>
      <c r="K141" s="52">
        <f>BAZA_DUXONE!H34</f>
        <v/>
      </c>
      <c r="L141" s="52">
        <f>BAZA_DUXONE!I34</f>
        <v/>
      </c>
      <c r="M141" s="52">
        <f>BAZA_DUXONE!R34</f>
        <v/>
      </c>
      <c r="N141" s="52">
        <f>BAZA_DUXONE!S34</f>
        <v/>
      </c>
    </row>
    <row r="142" ht="40" customHeight="1">
      <c r="A142" s="52">
        <f>BAZA_DUXONE!A35</f>
        <v/>
      </c>
      <c r="B142" s="52">
        <f>BAZA_DUXONE!B35</f>
        <v/>
      </c>
      <c r="C142" s="52">
        <f>BAZA_DUXONE!C35</f>
        <v/>
      </c>
      <c r="D142" s="52">
        <f>BAZA_DUXONE!G35</f>
        <v/>
      </c>
      <c r="E142" s="52">
        <f>BAZA_DUXONE!K35</f>
        <v/>
      </c>
      <c r="F142" s="52">
        <f>BAZA_DUXONE!F35</f>
        <v/>
      </c>
      <c r="G142" s="52">
        <f>BAZA_DUXONE!L35</f>
        <v/>
      </c>
      <c r="H142" s="52">
        <f>BAZA_DUXONE!M35</f>
        <v/>
      </c>
      <c r="I142" s="52">
        <f>BAZA_DUXONE!J35</f>
        <v/>
      </c>
      <c r="J142" s="52">
        <f>BAZA_DUXONE!O35</f>
        <v/>
      </c>
      <c r="K142" s="52">
        <f>BAZA_DUXONE!H35</f>
        <v/>
      </c>
      <c r="L142" s="52">
        <f>BAZA_DUXONE!I35</f>
        <v/>
      </c>
      <c r="M142" s="52">
        <f>BAZA_DUXONE!R35</f>
        <v/>
      </c>
      <c r="N142" s="52">
        <f>BAZA_DUXONE!S35</f>
        <v/>
      </c>
    </row>
    <row r="143" ht="40" customHeight="1">
      <c r="A143" s="52">
        <f>BAZA_DUXONE!A36</f>
        <v/>
      </c>
      <c r="B143" s="52">
        <f>BAZA_DUXONE!B36</f>
        <v/>
      </c>
      <c r="C143" s="52">
        <f>BAZA_DUXONE!C36</f>
        <v/>
      </c>
      <c r="D143" s="52">
        <f>BAZA_DUXONE!G36</f>
        <v/>
      </c>
      <c r="E143" s="52">
        <f>BAZA_DUXONE!K36</f>
        <v/>
      </c>
      <c r="F143" s="52">
        <f>BAZA_DUXONE!F36</f>
        <v/>
      </c>
      <c r="G143" s="52">
        <f>BAZA_DUXONE!L36</f>
        <v/>
      </c>
      <c r="H143" s="52">
        <f>BAZA_DUXONE!M36</f>
        <v/>
      </c>
      <c r="I143" s="52">
        <f>BAZA_DUXONE!J36</f>
        <v/>
      </c>
      <c r="J143" s="52">
        <f>BAZA_DUXONE!O36</f>
        <v/>
      </c>
      <c r="K143" s="52">
        <f>BAZA_DUXONE!H36</f>
        <v/>
      </c>
      <c r="L143" s="52">
        <f>BAZA_DUXONE!I36</f>
        <v/>
      </c>
      <c r="M143" s="52">
        <f>BAZA_DUXONE!R36</f>
        <v/>
      </c>
      <c r="N143" s="52">
        <f>BAZA_DUXONE!S36</f>
        <v/>
      </c>
    </row>
    <row r="144" ht="40" customHeight="1">
      <c r="A144" s="52">
        <f>BAZA_DUXONE!A37</f>
        <v/>
      </c>
      <c r="B144" s="52">
        <f>BAZA_DUXONE!B37</f>
        <v/>
      </c>
      <c r="C144" s="52">
        <f>BAZA_DUXONE!C37</f>
        <v/>
      </c>
      <c r="D144" s="52">
        <f>BAZA_DUXONE!G37</f>
        <v/>
      </c>
      <c r="E144" s="52">
        <f>BAZA_DUXONE!K37</f>
        <v/>
      </c>
      <c r="F144" s="52">
        <f>BAZA_DUXONE!F37</f>
        <v/>
      </c>
      <c r="G144" s="52">
        <f>BAZA_DUXONE!L37</f>
        <v/>
      </c>
      <c r="H144" s="52">
        <f>BAZA_DUXONE!M37</f>
        <v/>
      </c>
      <c r="I144" s="52">
        <f>BAZA_DUXONE!J37</f>
        <v/>
      </c>
      <c r="J144" s="52">
        <f>BAZA_DUXONE!O37</f>
        <v/>
      </c>
      <c r="K144" s="52">
        <f>BAZA_DUXONE!H37</f>
        <v/>
      </c>
      <c r="L144" s="52">
        <f>BAZA_DUXONE!I37</f>
        <v/>
      </c>
      <c r="M144" s="52">
        <f>BAZA_DUXONE!R37</f>
        <v/>
      </c>
      <c r="N144" s="52">
        <f>BAZA_DUXONE!S37</f>
        <v/>
      </c>
    </row>
    <row r="145" ht="40" customHeight="1">
      <c r="A145" s="52">
        <f>BAZA_DUXONE!A38</f>
        <v/>
      </c>
      <c r="B145" s="52">
        <f>BAZA_DUXONE!B38</f>
        <v/>
      </c>
      <c r="C145" s="52">
        <f>BAZA_DUXONE!C38</f>
        <v/>
      </c>
      <c r="D145" s="52">
        <f>BAZA_DUXONE!G38</f>
        <v/>
      </c>
      <c r="E145" s="52">
        <f>BAZA_DUXONE!K38</f>
        <v/>
      </c>
      <c r="F145" s="52">
        <f>BAZA_DUXONE!F38</f>
        <v/>
      </c>
      <c r="G145" s="52">
        <f>BAZA_DUXONE!L38</f>
        <v/>
      </c>
      <c r="H145" s="52">
        <f>BAZA_DUXONE!M38</f>
        <v/>
      </c>
      <c r="I145" s="52">
        <f>BAZA_DUXONE!J38</f>
        <v/>
      </c>
      <c r="J145" s="52">
        <f>BAZA_DUXONE!O38</f>
        <v/>
      </c>
      <c r="K145" s="52">
        <f>BAZA_DUXONE!H38</f>
        <v/>
      </c>
      <c r="L145" s="52">
        <f>BAZA_DUXONE!I38</f>
        <v/>
      </c>
      <c r="M145" s="52">
        <f>BAZA_DUXONE!R38</f>
        <v/>
      </c>
      <c r="N145" s="52">
        <f>BAZA_DUXONE!S38</f>
        <v/>
      </c>
    </row>
    <row r="146" ht="40" customHeight="1">
      <c r="A146" s="52">
        <f>BAZA_DUXONE!A39</f>
        <v/>
      </c>
      <c r="B146" s="52">
        <f>BAZA_DUXONE!B39</f>
        <v/>
      </c>
      <c r="C146" s="52">
        <f>BAZA_DUXONE!C39</f>
        <v/>
      </c>
      <c r="D146" s="52">
        <f>BAZA_DUXONE!G39</f>
        <v/>
      </c>
      <c r="E146" s="52">
        <f>BAZA_DUXONE!K39</f>
        <v/>
      </c>
      <c r="F146" s="52">
        <f>BAZA_DUXONE!F39</f>
        <v/>
      </c>
      <c r="G146" s="52">
        <f>BAZA_DUXONE!L39</f>
        <v/>
      </c>
      <c r="H146" s="52">
        <f>BAZA_DUXONE!M39</f>
        <v/>
      </c>
      <c r="I146" s="52">
        <f>BAZA_DUXONE!J39</f>
        <v/>
      </c>
      <c r="J146" s="52">
        <f>BAZA_DUXONE!O39</f>
        <v/>
      </c>
      <c r="K146" s="52">
        <f>BAZA_DUXONE!H39</f>
        <v/>
      </c>
      <c r="L146" s="52">
        <f>BAZA_DUXONE!I39</f>
        <v/>
      </c>
      <c r="M146" s="52">
        <f>BAZA_DUXONE!R39</f>
        <v/>
      </c>
      <c r="N146" s="52">
        <f>BAZA_DUXONE!S39</f>
        <v/>
      </c>
    </row>
    <row r="147" ht="40" customHeight="1">
      <c r="A147" s="52">
        <f>BAZA_DUXONE!A40</f>
        <v/>
      </c>
      <c r="B147" s="52">
        <f>BAZA_DUXONE!B40</f>
        <v/>
      </c>
      <c r="C147" s="52">
        <f>BAZA_DUXONE!C40</f>
        <v/>
      </c>
      <c r="D147" s="52">
        <f>BAZA_DUXONE!G40</f>
        <v/>
      </c>
      <c r="E147" s="52">
        <f>BAZA_DUXONE!K40</f>
        <v/>
      </c>
      <c r="F147" s="52">
        <f>BAZA_DUXONE!F40</f>
        <v/>
      </c>
      <c r="G147" s="52">
        <f>BAZA_DUXONE!L40</f>
        <v/>
      </c>
      <c r="H147" s="52">
        <f>BAZA_DUXONE!M40</f>
        <v/>
      </c>
      <c r="I147" s="52">
        <f>BAZA_DUXONE!J40</f>
        <v/>
      </c>
      <c r="J147" s="52">
        <f>BAZA_DUXONE!O40</f>
        <v/>
      </c>
      <c r="K147" s="52">
        <f>BAZA_DUXONE!H40</f>
        <v/>
      </c>
      <c r="L147" s="52">
        <f>BAZA_DUXONE!I40</f>
        <v/>
      </c>
      <c r="M147" s="52">
        <f>BAZA_DUXONE!R40</f>
        <v/>
      </c>
      <c r="N147" s="52">
        <f>BAZA_DUXONE!S40</f>
        <v/>
      </c>
    </row>
    <row r="148" ht="40" customHeight="1">
      <c r="A148" s="52">
        <f>BAZA_DUXONE!A41</f>
        <v/>
      </c>
      <c r="B148" s="52">
        <f>BAZA_DUXONE!B41</f>
        <v/>
      </c>
      <c r="C148" s="52">
        <f>BAZA_DUXONE!C41</f>
        <v/>
      </c>
      <c r="D148" s="52">
        <f>BAZA_DUXONE!G41</f>
        <v/>
      </c>
      <c r="E148" s="52">
        <f>BAZA_DUXONE!K41</f>
        <v/>
      </c>
      <c r="F148" s="52">
        <f>BAZA_DUXONE!F41</f>
        <v/>
      </c>
      <c r="G148" s="52">
        <f>BAZA_DUXONE!L41</f>
        <v/>
      </c>
      <c r="H148" s="52">
        <f>BAZA_DUXONE!M41</f>
        <v/>
      </c>
      <c r="I148" s="52">
        <f>BAZA_DUXONE!J41</f>
        <v/>
      </c>
      <c r="J148" s="52">
        <f>BAZA_DUXONE!O41</f>
        <v/>
      </c>
      <c r="K148" s="52">
        <f>BAZA_DUXONE!H41</f>
        <v/>
      </c>
      <c r="L148" s="52">
        <f>BAZA_DUXONE!I41</f>
        <v/>
      </c>
      <c r="M148" s="52">
        <f>BAZA_DUXONE!R41</f>
        <v/>
      </c>
      <c r="N148" s="52">
        <f>BAZA_DUXONE!S41</f>
        <v/>
      </c>
    </row>
    <row r="149" ht="40" customHeight="1">
      <c r="A149" s="52">
        <f>BAZA_DUXONE!A42</f>
        <v/>
      </c>
      <c r="B149" s="52">
        <f>BAZA_DUXONE!B42</f>
        <v/>
      </c>
      <c r="C149" s="52">
        <f>BAZA_DUXONE!C42</f>
        <v/>
      </c>
      <c r="D149" s="52">
        <f>BAZA_DUXONE!G42</f>
        <v/>
      </c>
      <c r="E149" s="52">
        <f>BAZA_DUXONE!K42</f>
        <v/>
      </c>
      <c r="F149" s="52">
        <f>BAZA_DUXONE!F42</f>
        <v/>
      </c>
      <c r="G149" s="52">
        <f>BAZA_DUXONE!L42</f>
        <v/>
      </c>
      <c r="H149" s="52">
        <f>BAZA_DUXONE!M42</f>
        <v/>
      </c>
      <c r="I149" s="52">
        <f>BAZA_DUXONE!J42</f>
        <v/>
      </c>
      <c r="J149" s="52">
        <f>BAZA_DUXONE!O42</f>
        <v/>
      </c>
      <c r="K149" s="52">
        <f>BAZA_DUXONE!H42</f>
        <v/>
      </c>
      <c r="L149" s="52">
        <f>BAZA_DUXONE!I42</f>
        <v/>
      </c>
      <c r="M149" s="52">
        <f>BAZA_DUXONE!R42</f>
        <v/>
      </c>
      <c r="N149" s="52">
        <f>BAZA_DUXONE!S42</f>
        <v/>
      </c>
    </row>
    <row r="150" ht="40" customHeight="1">
      <c r="A150" s="52">
        <f>BAZA_DUXONE!A43</f>
        <v/>
      </c>
      <c r="B150" s="52">
        <f>BAZA_DUXONE!B43</f>
        <v/>
      </c>
      <c r="C150" s="52">
        <f>BAZA_DUXONE!C43</f>
        <v/>
      </c>
      <c r="D150" s="52">
        <f>BAZA_DUXONE!G43</f>
        <v/>
      </c>
      <c r="E150" s="52">
        <f>BAZA_DUXONE!K43</f>
        <v/>
      </c>
      <c r="F150" s="52">
        <f>BAZA_DUXONE!F43</f>
        <v/>
      </c>
      <c r="G150" s="52">
        <f>BAZA_DUXONE!L43</f>
        <v/>
      </c>
      <c r="H150" s="52">
        <f>BAZA_DUXONE!M43</f>
        <v/>
      </c>
      <c r="I150" s="52">
        <f>BAZA_DUXONE!J43</f>
        <v/>
      </c>
      <c r="J150" s="52">
        <f>BAZA_DUXONE!O43</f>
        <v/>
      </c>
      <c r="K150" s="52">
        <f>BAZA_DUXONE!H43</f>
        <v/>
      </c>
      <c r="L150" s="52">
        <f>BAZA_DUXONE!I43</f>
        <v/>
      </c>
      <c r="M150" s="52">
        <f>BAZA_DUXONE!R43</f>
        <v/>
      </c>
      <c r="N150" s="52">
        <f>BAZA_DUXONE!S43</f>
        <v/>
      </c>
    </row>
    <row r="151" ht="40" customHeight="1">
      <c r="A151" s="52">
        <f>BAZA_DUXONE!A44</f>
        <v/>
      </c>
      <c r="B151" s="52">
        <f>BAZA_DUXONE!B44</f>
        <v/>
      </c>
      <c r="C151" s="52">
        <f>BAZA_DUXONE!C44</f>
        <v/>
      </c>
      <c r="D151" s="52">
        <f>BAZA_DUXONE!G44</f>
        <v/>
      </c>
      <c r="E151" s="52">
        <f>BAZA_DUXONE!K44</f>
        <v/>
      </c>
      <c r="F151" s="52">
        <f>BAZA_DUXONE!F44</f>
        <v/>
      </c>
      <c r="G151" s="52">
        <f>BAZA_DUXONE!L44</f>
        <v/>
      </c>
      <c r="H151" s="52">
        <f>BAZA_DUXONE!M44</f>
        <v/>
      </c>
      <c r="I151" s="52">
        <f>BAZA_DUXONE!J44</f>
        <v/>
      </c>
      <c r="J151" s="52">
        <f>BAZA_DUXONE!O44</f>
        <v/>
      </c>
      <c r="K151" s="52">
        <f>BAZA_DUXONE!H44</f>
        <v/>
      </c>
      <c r="L151" s="52">
        <f>BAZA_DUXONE!I44</f>
        <v/>
      </c>
      <c r="M151" s="52">
        <f>BAZA_DUXONE!R44</f>
        <v/>
      </c>
      <c r="N151" s="52">
        <f>BAZA_DUXONE!S44</f>
        <v/>
      </c>
    </row>
    <row r="152" ht="40" customHeight="1">
      <c r="A152" s="52">
        <f>BAZA_DUXONE!A45</f>
        <v/>
      </c>
      <c r="B152" s="52">
        <f>BAZA_DUXONE!B45</f>
        <v/>
      </c>
      <c r="C152" s="52">
        <f>BAZA_DUXONE!C45</f>
        <v/>
      </c>
      <c r="D152" s="52">
        <f>BAZA_DUXONE!G45</f>
        <v/>
      </c>
      <c r="E152" s="52">
        <f>BAZA_DUXONE!K45</f>
        <v/>
      </c>
      <c r="F152" s="52">
        <f>BAZA_DUXONE!F45</f>
        <v/>
      </c>
      <c r="G152" s="52">
        <f>BAZA_DUXONE!L45</f>
        <v/>
      </c>
      <c r="H152" s="52">
        <f>BAZA_DUXONE!M45</f>
        <v/>
      </c>
      <c r="I152" s="52">
        <f>BAZA_DUXONE!J45</f>
        <v/>
      </c>
      <c r="J152" s="52">
        <f>BAZA_DUXONE!O45</f>
        <v/>
      </c>
      <c r="K152" s="52">
        <f>BAZA_DUXONE!H45</f>
        <v/>
      </c>
      <c r="L152" s="52">
        <f>BAZA_DUXONE!I45</f>
        <v/>
      </c>
      <c r="M152" s="52">
        <f>BAZA_DUXONE!R45</f>
        <v/>
      </c>
      <c r="N152" s="52">
        <f>BAZA_DUXONE!S45</f>
        <v/>
      </c>
    </row>
    <row r="153" ht="40" customHeight="1">
      <c r="A153" s="52">
        <f>BAZA_DUXONE!A46</f>
        <v/>
      </c>
      <c r="B153" s="52">
        <f>BAZA_DUXONE!B46</f>
        <v/>
      </c>
      <c r="C153" s="52">
        <f>BAZA_DUXONE!C46</f>
        <v/>
      </c>
      <c r="D153" s="52">
        <f>BAZA_DUXONE!G46</f>
        <v/>
      </c>
      <c r="E153" s="52">
        <f>BAZA_DUXONE!K46</f>
        <v/>
      </c>
      <c r="F153" s="52">
        <f>BAZA_DUXONE!F46</f>
        <v/>
      </c>
      <c r="G153" s="52">
        <f>BAZA_DUXONE!L46</f>
        <v/>
      </c>
      <c r="H153" s="52">
        <f>BAZA_DUXONE!M46</f>
        <v/>
      </c>
      <c r="I153" s="52">
        <f>BAZA_DUXONE!J46</f>
        <v/>
      </c>
      <c r="J153" s="52">
        <f>BAZA_DUXONE!O46</f>
        <v/>
      </c>
      <c r="K153" s="52">
        <f>BAZA_DUXONE!H46</f>
        <v/>
      </c>
      <c r="L153" s="52">
        <f>BAZA_DUXONE!I46</f>
        <v/>
      </c>
      <c r="M153" s="52">
        <f>BAZA_DUXONE!R46</f>
        <v/>
      </c>
      <c r="N153" s="52">
        <f>BAZA_DUXONE!S46</f>
        <v/>
      </c>
    </row>
    <row r="154" ht="40" customHeight="1">
      <c r="A154" s="52">
        <f>BAZA_DUXONE!A47</f>
        <v/>
      </c>
      <c r="B154" s="52">
        <f>BAZA_DUXONE!B47</f>
        <v/>
      </c>
      <c r="C154" s="52">
        <f>BAZA_DUXONE!C47</f>
        <v/>
      </c>
      <c r="D154" s="52">
        <f>BAZA_DUXONE!G47</f>
        <v/>
      </c>
      <c r="E154" s="52">
        <f>BAZA_DUXONE!K47</f>
        <v/>
      </c>
      <c r="F154" s="52">
        <f>BAZA_DUXONE!F47</f>
        <v/>
      </c>
      <c r="G154" s="52">
        <f>BAZA_DUXONE!L47</f>
        <v/>
      </c>
      <c r="H154" s="52">
        <f>BAZA_DUXONE!M47</f>
        <v/>
      </c>
      <c r="I154" s="52">
        <f>BAZA_DUXONE!J47</f>
        <v/>
      </c>
      <c r="J154" s="52">
        <f>BAZA_DUXONE!O47</f>
        <v/>
      </c>
      <c r="K154" s="52">
        <f>BAZA_DUXONE!H47</f>
        <v/>
      </c>
      <c r="L154" s="52">
        <f>BAZA_DUXONE!I47</f>
        <v/>
      </c>
      <c r="M154" s="52">
        <f>BAZA_DUXONE!R47</f>
        <v/>
      </c>
      <c r="N154" s="52">
        <f>BAZA_DUXONE!S47</f>
        <v/>
      </c>
    </row>
    <row r="155" ht="40" customHeight="1">
      <c r="A155" s="52">
        <f>BAZA_DUXONE!A48</f>
        <v/>
      </c>
      <c r="B155" s="52">
        <f>BAZA_DUXONE!B48</f>
        <v/>
      </c>
      <c r="C155" s="52">
        <f>BAZA_DUXONE!C48</f>
        <v/>
      </c>
      <c r="D155" s="52">
        <f>BAZA_DUXONE!G48</f>
        <v/>
      </c>
      <c r="E155" s="52">
        <f>BAZA_DUXONE!K48</f>
        <v/>
      </c>
      <c r="F155" s="52">
        <f>BAZA_DUXONE!F48</f>
        <v/>
      </c>
      <c r="G155" s="52">
        <f>BAZA_DUXONE!L48</f>
        <v/>
      </c>
      <c r="H155" s="52">
        <f>BAZA_DUXONE!M48</f>
        <v/>
      </c>
      <c r="I155" s="52">
        <f>BAZA_DUXONE!J48</f>
        <v/>
      </c>
      <c r="J155" s="52">
        <f>BAZA_DUXONE!O48</f>
        <v/>
      </c>
      <c r="K155" s="52">
        <f>BAZA_DUXONE!H48</f>
        <v/>
      </c>
      <c r="L155" s="52">
        <f>BAZA_DUXONE!I48</f>
        <v/>
      </c>
      <c r="M155" s="52">
        <f>BAZA_DUXONE!R48</f>
        <v/>
      </c>
      <c r="N155" s="52">
        <f>BAZA_DUXONE!S48</f>
        <v/>
      </c>
    </row>
    <row r="156" ht="40" customHeight="1">
      <c r="A156" s="52">
        <f>BAZA_DUXONE!A49</f>
        <v/>
      </c>
      <c r="B156" s="52">
        <f>BAZA_DUXONE!B49</f>
        <v/>
      </c>
      <c r="C156" s="52">
        <f>BAZA_DUXONE!C49</f>
        <v/>
      </c>
      <c r="D156" s="52">
        <f>BAZA_DUXONE!G49</f>
        <v/>
      </c>
      <c r="E156" s="52">
        <f>BAZA_DUXONE!K49</f>
        <v/>
      </c>
      <c r="F156" s="52">
        <f>BAZA_DUXONE!F49</f>
        <v/>
      </c>
      <c r="G156" s="52">
        <f>BAZA_DUXONE!L49</f>
        <v/>
      </c>
      <c r="H156" s="52">
        <f>BAZA_DUXONE!M49</f>
        <v/>
      </c>
      <c r="I156" s="52">
        <f>BAZA_DUXONE!J49</f>
        <v/>
      </c>
      <c r="J156" s="52">
        <f>BAZA_DUXONE!O49</f>
        <v/>
      </c>
      <c r="K156" s="52">
        <f>BAZA_DUXONE!H49</f>
        <v/>
      </c>
      <c r="L156" s="52">
        <f>BAZA_DUXONE!I49</f>
        <v/>
      </c>
      <c r="M156" s="52">
        <f>BAZA_DUXONE!R49</f>
        <v/>
      </c>
      <c r="N156" s="52">
        <f>BAZA_DUXONE!S49</f>
        <v/>
      </c>
    </row>
    <row r="157" ht="40" customHeight="1">
      <c r="A157" s="52">
        <f>BAZA_DUXONE!A50</f>
        <v/>
      </c>
      <c r="B157" s="52">
        <f>BAZA_DUXONE!B50</f>
        <v/>
      </c>
      <c r="C157" s="52">
        <f>BAZA_DUXONE!C50</f>
        <v/>
      </c>
      <c r="D157" s="52">
        <f>BAZA_DUXONE!G50</f>
        <v/>
      </c>
      <c r="E157" s="52">
        <f>BAZA_DUXONE!K50</f>
        <v/>
      </c>
      <c r="F157" s="52">
        <f>BAZA_DUXONE!F50</f>
        <v/>
      </c>
      <c r="G157" s="52">
        <f>BAZA_DUXONE!L50</f>
        <v/>
      </c>
      <c r="H157" s="52">
        <f>BAZA_DUXONE!M50</f>
        <v/>
      </c>
      <c r="I157" s="52">
        <f>BAZA_DUXONE!J50</f>
        <v/>
      </c>
      <c r="J157" s="52">
        <f>BAZA_DUXONE!O50</f>
        <v/>
      </c>
      <c r="K157" s="52">
        <f>BAZA_DUXONE!H50</f>
        <v/>
      </c>
      <c r="L157" s="52">
        <f>BAZA_DUXONE!I50</f>
        <v/>
      </c>
      <c r="M157" s="52">
        <f>BAZA_DUXONE!R50</f>
        <v/>
      </c>
      <c r="N157" s="52">
        <f>BAZA_DUXONE!S50</f>
        <v/>
      </c>
    </row>
    <row r="158" ht="40" customHeight="1">
      <c r="A158" s="52">
        <f>BAZA_DUXONE!A51</f>
        <v/>
      </c>
      <c r="B158" s="52">
        <f>BAZA_DUXONE!B51</f>
        <v/>
      </c>
      <c r="C158" s="52">
        <f>BAZA_DUXONE!C51</f>
        <v/>
      </c>
      <c r="D158" s="52">
        <f>BAZA_DUXONE!G51</f>
        <v/>
      </c>
      <c r="E158" s="52">
        <f>BAZA_DUXONE!K51</f>
        <v/>
      </c>
      <c r="F158" s="52">
        <f>BAZA_DUXONE!F51</f>
        <v/>
      </c>
      <c r="G158" s="52">
        <f>BAZA_DUXONE!L51</f>
        <v/>
      </c>
      <c r="H158" s="52">
        <f>BAZA_DUXONE!M51</f>
        <v/>
      </c>
      <c r="I158" s="52">
        <f>BAZA_DUXONE!J51</f>
        <v/>
      </c>
      <c r="J158" s="52">
        <f>BAZA_DUXONE!O51</f>
        <v/>
      </c>
      <c r="K158" s="52">
        <f>BAZA_DUXONE!H51</f>
        <v/>
      </c>
      <c r="L158" s="52">
        <f>BAZA_DUXONE!I51</f>
        <v/>
      </c>
      <c r="M158" s="52">
        <f>BAZA_DUXONE!R51</f>
        <v/>
      </c>
      <c r="N158" s="52">
        <f>BAZA_DUXONE!S51</f>
        <v/>
      </c>
    </row>
    <row r="159" ht="40" customHeight="1">
      <c r="A159" s="52">
        <f>BAZA_DUXONE!A52</f>
        <v/>
      </c>
      <c r="B159" s="52">
        <f>BAZA_DUXONE!B52</f>
        <v/>
      </c>
      <c r="C159" s="52">
        <f>BAZA_DUXONE!C52</f>
        <v/>
      </c>
      <c r="D159" s="52">
        <f>BAZA_DUXONE!G52</f>
        <v/>
      </c>
      <c r="E159" s="52">
        <f>BAZA_DUXONE!K52</f>
        <v/>
      </c>
      <c r="F159" s="52">
        <f>BAZA_DUXONE!F52</f>
        <v/>
      </c>
      <c r="G159" s="52">
        <f>BAZA_DUXONE!L52</f>
        <v/>
      </c>
      <c r="H159" s="52">
        <f>BAZA_DUXONE!M52</f>
        <v/>
      </c>
      <c r="I159" s="52">
        <f>BAZA_DUXONE!J52</f>
        <v/>
      </c>
      <c r="J159" s="52">
        <f>BAZA_DUXONE!O52</f>
        <v/>
      </c>
      <c r="K159" s="52">
        <f>BAZA_DUXONE!H52</f>
        <v/>
      </c>
      <c r="L159" s="52">
        <f>BAZA_DUXONE!I52</f>
        <v/>
      </c>
      <c r="M159" s="52">
        <f>BAZA_DUXONE!R52</f>
        <v/>
      </c>
      <c r="N159" s="52">
        <f>BAZA_DUXONE!S52</f>
        <v/>
      </c>
    </row>
    <row r="160" ht="40" customHeight="1">
      <c r="A160" s="52">
        <f>BAZA_DUXONE!A53</f>
        <v/>
      </c>
      <c r="B160" s="52">
        <f>BAZA_DUXONE!B53</f>
        <v/>
      </c>
      <c r="C160" s="52">
        <f>BAZA_DUXONE!C53</f>
        <v/>
      </c>
      <c r="D160" s="52">
        <f>BAZA_DUXONE!G53</f>
        <v/>
      </c>
      <c r="E160" s="52">
        <f>BAZA_DUXONE!K53</f>
        <v/>
      </c>
      <c r="F160" s="52">
        <f>BAZA_DUXONE!F53</f>
        <v/>
      </c>
      <c r="G160" s="52">
        <f>BAZA_DUXONE!L53</f>
        <v/>
      </c>
      <c r="H160" s="52">
        <f>BAZA_DUXONE!M53</f>
        <v/>
      </c>
      <c r="I160" s="52">
        <f>BAZA_DUXONE!J53</f>
        <v/>
      </c>
      <c r="J160" s="52">
        <f>BAZA_DUXONE!O53</f>
        <v/>
      </c>
      <c r="K160" s="52">
        <f>BAZA_DUXONE!H53</f>
        <v/>
      </c>
      <c r="L160" s="52">
        <f>BAZA_DUXONE!I53</f>
        <v/>
      </c>
      <c r="M160" s="52">
        <f>BAZA_DUXONE!R53</f>
        <v/>
      </c>
      <c r="N160" s="52">
        <f>BAZA_DUXONE!S53</f>
        <v/>
      </c>
    </row>
    <row r="161" ht="40" customHeight="1">
      <c r="A161" s="52">
        <f>BAZA_DUXONE!A54</f>
        <v/>
      </c>
      <c r="B161" s="52">
        <f>BAZA_DUXONE!B54</f>
        <v/>
      </c>
      <c r="C161" s="52">
        <f>BAZA_DUXONE!C54</f>
        <v/>
      </c>
      <c r="D161" s="52">
        <f>BAZA_DUXONE!G54</f>
        <v/>
      </c>
      <c r="E161" s="52">
        <f>BAZA_DUXONE!K54</f>
        <v/>
      </c>
      <c r="F161" s="52">
        <f>BAZA_DUXONE!F54</f>
        <v/>
      </c>
      <c r="G161" s="52">
        <f>BAZA_DUXONE!L54</f>
        <v/>
      </c>
      <c r="H161" s="52">
        <f>BAZA_DUXONE!M54</f>
        <v/>
      </c>
      <c r="I161" s="52">
        <f>BAZA_DUXONE!J54</f>
        <v/>
      </c>
      <c r="J161" s="52">
        <f>BAZA_DUXONE!O54</f>
        <v/>
      </c>
      <c r="K161" s="52">
        <f>BAZA_DUXONE!H54</f>
        <v/>
      </c>
      <c r="L161" s="52">
        <f>BAZA_DUXONE!I54</f>
        <v/>
      </c>
      <c r="M161" s="52">
        <f>BAZA_DUXONE!R54</f>
        <v/>
      </c>
      <c r="N161" s="52">
        <f>BAZA_DUXONE!S54</f>
        <v/>
      </c>
    </row>
    <row r="162" ht="40" customHeight="1">
      <c r="A162" s="52">
        <f>BAZA_DUXONE!A55</f>
        <v/>
      </c>
      <c r="B162" s="52">
        <f>BAZA_DUXONE!B55</f>
        <v/>
      </c>
      <c r="C162" s="52">
        <f>BAZA_DUXONE!C55</f>
        <v/>
      </c>
      <c r="D162" s="52">
        <f>BAZA_DUXONE!G55</f>
        <v/>
      </c>
      <c r="E162" s="52">
        <f>BAZA_DUXONE!K55</f>
        <v/>
      </c>
      <c r="F162" s="52">
        <f>BAZA_DUXONE!F55</f>
        <v/>
      </c>
      <c r="G162" s="52">
        <f>BAZA_DUXONE!L55</f>
        <v/>
      </c>
      <c r="H162" s="52">
        <f>BAZA_DUXONE!M55</f>
        <v/>
      </c>
      <c r="I162" s="52">
        <f>BAZA_DUXONE!J55</f>
        <v/>
      </c>
      <c r="J162" s="52">
        <f>BAZA_DUXONE!O55</f>
        <v/>
      </c>
      <c r="K162" s="52">
        <f>BAZA_DUXONE!H55</f>
        <v/>
      </c>
      <c r="L162" s="52">
        <f>BAZA_DUXONE!I55</f>
        <v/>
      </c>
      <c r="M162" s="52">
        <f>BAZA_DUXONE!R55</f>
        <v/>
      </c>
      <c r="N162" s="52">
        <f>BAZA_DUXONE!S55</f>
        <v/>
      </c>
    </row>
    <row r="163" ht="40" customHeight="1">
      <c r="A163" s="52">
        <f>BAZA_DUXONE!A56</f>
        <v/>
      </c>
      <c r="B163" s="52">
        <f>BAZA_DUXONE!B56</f>
        <v/>
      </c>
      <c r="C163" s="52">
        <f>BAZA_DUXONE!C56</f>
        <v/>
      </c>
      <c r="D163" s="52">
        <f>BAZA_DUXONE!G56</f>
        <v/>
      </c>
      <c r="E163" s="52">
        <f>BAZA_DUXONE!K56</f>
        <v/>
      </c>
      <c r="F163" s="52">
        <f>BAZA_DUXONE!F56</f>
        <v/>
      </c>
      <c r="G163" s="52">
        <f>BAZA_DUXONE!L56</f>
        <v/>
      </c>
      <c r="H163" s="52">
        <f>BAZA_DUXONE!M56</f>
        <v/>
      </c>
      <c r="I163" s="52">
        <f>BAZA_DUXONE!J56</f>
        <v/>
      </c>
      <c r="J163" s="52">
        <f>BAZA_DUXONE!O56</f>
        <v/>
      </c>
      <c r="K163" s="52">
        <f>BAZA_DUXONE!H56</f>
        <v/>
      </c>
      <c r="L163" s="52">
        <f>BAZA_DUXONE!I56</f>
        <v/>
      </c>
      <c r="M163" s="52">
        <f>BAZA_DUXONE!R56</f>
        <v/>
      </c>
      <c r="N163" s="52">
        <f>BAZA_DUXONE!S56</f>
        <v/>
      </c>
    </row>
    <row r="164" ht="40" customHeight="1">
      <c r="A164" s="52">
        <f>BAZA_DUXONE!A57</f>
        <v/>
      </c>
      <c r="B164" s="52">
        <f>BAZA_DUXONE!B57</f>
        <v/>
      </c>
      <c r="C164" s="52">
        <f>BAZA_DUXONE!C57</f>
        <v/>
      </c>
      <c r="D164" s="52">
        <f>BAZA_DUXONE!G57</f>
        <v/>
      </c>
      <c r="E164" s="52">
        <f>BAZA_DUXONE!K57</f>
        <v/>
      </c>
      <c r="F164" s="52">
        <f>BAZA_DUXONE!F57</f>
        <v/>
      </c>
      <c r="G164" s="52">
        <f>BAZA_DUXONE!L57</f>
        <v/>
      </c>
      <c r="H164" s="52">
        <f>BAZA_DUXONE!M57</f>
        <v/>
      </c>
      <c r="I164" s="52">
        <f>BAZA_DUXONE!J57</f>
        <v/>
      </c>
      <c r="J164" s="52">
        <f>BAZA_DUXONE!O57</f>
        <v/>
      </c>
      <c r="K164" s="52">
        <f>BAZA_DUXONE!H57</f>
        <v/>
      </c>
      <c r="L164" s="52">
        <f>BAZA_DUXONE!I57</f>
        <v/>
      </c>
      <c r="M164" s="52">
        <f>BAZA_DUXONE!R57</f>
        <v/>
      </c>
      <c r="N164" s="52">
        <f>BAZA_DUXONE!S57</f>
        <v/>
      </c>
    </row>
    <row r="165" ht="40" customHeight="1">
      <c r="A165" s="52">
        <f>BAZA_DUXONE!A58</f>
        <v/>
      </c>
      <c r="B165" s="52">
        <f>BAZA_DUXONE!B58</f>
        <v/>
      </c>
      <c r="C165" s="52">
        <f>BAZA_DUXONE!C58</f>
        <v/>
      </c>
      <c r="D165" s="52">
        <f>BAZA_DUXONE!G58</f>
        <v/>
      </c>
      <c r="E165" s="52">
        <f>BAZA_DUXONE!K58</f>
        <v/>
      </c>
      <c r="F165" s="52">
        <f>BAZA_DUXONE!F58</f>
        <v/>
      </c>
      <c r="G165" s="52">
        <f>BAZA_DUXONE!L58</f>
        <v/>
      </c>
      <c r="H165" s="52">
        <f>BAZA_DUXONE!M58</f>
        <v/>
      </c>
      <c r="I165" s="52">
        <f>BAZA_DUXONE!J58</f>
        <v/>
      </c>
      <c r="J165" s="52">
        <f>BAZA_DUXONE!O58</f>
        <v/>
      </c>
      <c r="K165" s="52">
        <f>BAZA_DUXONE!H58</f>
        <v/>
      </c>
      <c r="L165" s="52">
        <f>BAZA_DUXONE!I58</f>
        <v/>
      </c>
      <c r="M165" s="52">
        <f>BAZA_DUXONE!R58</f>
        <v/>
      </c>
      <c r="N165" s="52">
        <f>BAZA_DUXONE!S58</f>
        <v/>
      </c>
    </row>
    <row r="166" ht="40" customHeight="1">
      <c r="A166" s="52">
        <f>BAZA_DUXONE!A59</f>
        <v/>
      </c>
      <c r="B166" s="52">
        <f>BAZA_DUXONE!B59</f>
        <v/>
      </c>
      <c r="C166" s="52">
        <f>BAZA_DUXONE!C59</f>
        <v/>
      </c>
      <c r="D166" s="52">
        <f>BAZA_DUXONE!G59</f>
        <v/>
      </c>
      <c r="E166" s="52">
        <f>BAZA_DUXONE!K59</f>
        <v/>
      </c>
      <c r="F166" s="52">
        <f>BAZA_DUXONE!F59</f>
        <v/>
      </c>
      <c r="G166" s="52">
        <f>BAZA_DUXONE!L59</f>
        <v/>
      </c>
      <c r="H166" s="52">
        <f>BAZA_DUXONE!M59</f>
        <v/>
      </c>
      <c r="I166" s="52">
        <f>BAZA_DUXONE!J59</f>
        <v/>
      </c>
      <c r="J166" s="52">
        <f>BAZA_DUXONE!O59</f>
        <v/>
      </c>
      <c r="K166" s="52">
        <f>BAZA_DUXONE!H59</f>
        <v/>
      </c>
      <c r="L166" s="52">
        <f>BAZA_DUXONE!I59</f>
        <v/>
      </c>
      <c r="M166" s="52">
        <f>BAZA_DUXONE!R59</f>
        <v/>
      </c>
      <c r="N166" s="52">
        <f>BAZA_DUXONE!S59</f>
        <v/>
      </c>
    </row>
    <row r="167" ht="40" customHeight="1">
      <c r="A167" s="52">
        <f>BAZA_DUXONE!A60</f>
        <v/>
      </c>
      <c r="B167" s="52">
        <f>BAZA_DUXONE!B60</f>
        <v/>
      </c>
      <c r="C167" s="52">
        <f>BAZA_DUXONE!C60</f>
        <v/>
      </c>
      <c r="D167" s="52">
        <f>BAZA_DUXONE!G60</f>
        <v/>
      </c>
      <c r="E167" s="52">
        <f>BAZA_DUXONE!K60</f>
        <v/>
      </c>
      <c r="F167" s="52">
        <f>BAZA_DUXONE!F60</f>
        <v/>
      </c>
      <c r="G167" s="52">
        <f>BAZA_DUXONE!L60</f>
        <v/>
      </c>
      <c r="H167" s="52">
        <f>BAZA_DUXONE!M60</f>
        <v/>
      </c>
      <c r="I167" s="52">
        <f>BAZA_DUXONE!J60</f>
        <v/>
      </c>
      <c r="J167" s="52">
        <f>BAZA_DUXONE!O60</f>
        <v/>
      </c>
      <c r="K167" s="52">
        <f>BAZA_DUXONE!H60</f>
        <v/>
      </c>
      <c r="L167" s="52">
        <f>BAZA_DUXONE!I60</f>
        <v/>
      </c>
      <c r="M167" s="52">
        <f>BAZA_DUXONE!R60</f>
        <v/>
      </c>
      <c r="N167" s="52">
        <f>BAZA_DUXONE!S60</f>
        <v/>
      </c>
    </row>
    <row r="168" ht="40" customHeight="1">
      <c r="A168" s="52">
        <f>BAZA_DUXONE!A61</f>
        <v/>
      </c>
      <c r="B168" s="52">
        <f>BAZA_DUXONE!B61</f>
        <v/>
      </c>
      <c r="C168" s="52">
        <f>BAZA_DUXONE!C61</f>
        <v/>
      </c>
      <c r="D168" s="52">
        <f>BAZA_DUXONE!G61</f>
        <v/>
      </c>
      <c r="E168" s="52">
        <f>BAZA_DUXONE!K61</f>
        <v/>
      </c>
      <c r="F168" s="52">
        <f>BAZA_DUXONE!F61</f>
        <v/>
      </c>
      <c r="G168" s="52">
        <f>BAZA_DUXONE!L61</f>
        <v/>
      </c>
      <c r="H168" s="52">
        <f>BAZA_DUXONE!M61</f>
        <v/>
      </c>
      <c r="I168" s="52">
        <f>BAZA_DUXONE!J61</f>
        <v/>
      </c>
      <c r="J168" s="52">
        <f>BAZA_DUXONE!O61</f>
        <v/>
      </c>
      <c r="K168" s="52">
        <f>BAZA_DUXONE!H61</f>
        <v/>
      </c>
      <c r="L168" s="52">
        <f>BAZA_DUXONE!I61</f>
        <v/>
      </c>
      <c r="M168" s="52">
        <f>BAZA_DUXONE!R61</f>
        <v/>
      </c>
      <c r="N168" s="52">
        <f>BAZA_DUXONE!S61</f>
        <v/>
      </c>
    </row>
    <row r="169" ht="40" customHeight="1">
      <c r="A169" s="52">
        <f>BAZA_DUXONE!A62</f>
        <v/>
      </c>
      <c r="B169" s="52">
        <f>BAZA_DUXONE!B62</f>
        <v/>
      </c>
      <c r="C169" s="52">
        <f>BAZA_DUXONE!C62</f>
        <v/>
      </c>
      <c r="D169" s="52">
        <f>BAZA_DUXONE!G62</f>
        <v/>
      </c>
      <c r="E169" s="52">
        <f>BAZA_DUXONE!K62</f>
        <v/>
      </c>
      <c r="F169" s="52">
        <f>BAZA_DUXONE!F62</f>
        <v/>
      </c>
      <c r="G169" s="52">
        <f>BAZA_DUXONE!L62</f>
        <v/>
      </c>
      <c r="H169" s="52">
        <f>BAZA_DUXONE!M62</f>
        <v/>
      </c>
      <c r="I169" s="52">
        <f>BAZA_DUXONE!J62</f>
        <v/>
      </c>
      <c r="J169" s="52">
        <f>BAZA_DUXONE!O62</f>
        <v/>
      </c>
      <c r="K169" s="52">
        <f>BAZA_DUXONE!H62</f>
        <v/>
      </c>
      <c r="L169" s="52">
        <f>BAZA_DUXONE!I62</f>
        <v/>
      </c>
      <c r="M169" s="52">
        <f>BAZA_DUXONE!R62</f>
        <v/>
      </c>
      <c r="N169" s="52">
        <f>BAZA_DUXONE!S62</f>
        <v/>
      </c>
    </row>
    <row r="170" ht="40" customHeight="1">
      <c r="A170" s="52">
        <f>BAZA_DUXONE!A63</f>
        <v/>
      </c>
      <c r="B170" s="52">
        <f>BAZA_DUXONE!B63</f>
        <v/>
      </c>
      <c r="C170" s="52">
        <f>BAZA_DUXONE!C63</f>
        <v/>
      </c>
      <c r="D170" s="52">
        <f>BAZA_DUXONE!G63</f>
        <v/>
      </c>
      <c r="E170" s="52">
        <f>BAZA_DUXONE!K63</f>
        <v/>
      </c>
      <c r="F170" s="52">
        <f>BAZA_DUXONE!F63</f>
        <v/>
      </c>
      <c r="G170" s="52">
        <f>BAZA_DUXONE!L63</f>
        <v/>
      </c>
      <c r="H170" s="52">
        <f>BAZA_DUXONE!M63</f>
        <v/>
      </c>
      <c r="I170" s="52">
        <f>BAZA_DUXONE!J63</f>
        <v/>
      </c>
      <c r="J170" s="52">
        <f>BAZA_DUXONE!O63</f>
        <v/>
      </c>
      <c r="K170" s="52">
        <f>BAZA_DUXONE!H63</f>
        <v/>
      </c>
      <c r="L170" s="52">
        <f>BAZA_DUXONE!I63</f>
        <v/>
      </c>
      <c r="M170" s="52">
        <f>BAZA_DUXONE!R63</f>
        <v/>
      </c>
      <c r="N170" s="52">
        <f>BAZA_DUXONE!S63</f>
        <v/>
      </c>
    </row>
    <row r="171" ht="40" customHeight="1">
      <c r="A171" s="52">
        <f>BAZA_DUXONE!A64</f>
        <v/>
      </c>
      <c r="B171" s="52">
        <f>BAZA_DUXONE!B64</f>
        <v/>
      </c>
      <c r="C171" s="52">
        <f>BAZA_DUXONE!C64</f>
        <v/>
      </c>
      <c r="D171" s="52">
        <f>BAZA_DUXONE!G64</f>
        <v/>
      </c>
      <c r="E171" s="52">
        <f>BAZA_DUXONE!K64</f>
        <v/>
      </c>
      <c r="F171" s="52">
        <f>BAZA_DUXONE!F64</f>
        <v/>
      </c>
      <c r="G171" s="52">
        <f>BAZA_DUXONE!L64</f>
        <v/>
      </c>
      <c r="H171" s="52">
        <f>BAZA_DUXONE!M64</f>
        <v/>
      </c>
      <c r="I171" s="52">
        <f>BAZA_DUXONE!J64</f>
        <v/>
      </c>
      <c r="J171" s="52">
        <f>BAZA_DUXONE!O64</f>
        <v/>
      </c>
      <c r="K171" s="52">
        <f>BAZA_DUXONE!H64</f>
        <v/>
      </c>
      <c r="L171" s="52">
        <f>BAZA_DUXONE!I64</f>
        <v/>
      </c>
      <c r="M171" s="52">
        <f>BAZA_DUXONE!R64</f>
        <v/>
      </c>
      <c r="N171" s="52">
        <f>BAZA_DUXONE!S64</f>
        <v/>
      </c>
    </row>
    <row r="172" ht="40" customHeight="1">
      <c r="A172" s="52">
        <f>BAZA_DUXONE!A65</f>
        <v/>
      </c>
      <c r="B172" s="52">
        <f>BAZA_DUXONE!B65</f>
        <v/>
      </c>
      <c r="C172" s="52">
        <f>BAZA_DUXONE!C65</f>
        <v/>
      </c>
      <c r="D172" s="52">
        <f>BAZA_DUXONE!G65</f>
        <v/>
      </c>
      <c r="E172" s="52">
        <f>BAZA_DUXONE!K65</f>
        <v/>
      </c>
      <c r="F172" s="52">
        <f>BAZA_DUXONE!F65</f>
        <v/>
      </c>
      <c r="G172" s="52">
        <f>BAZA_DUXONE!L65</f>
        <v/>
      </c>
      <c r="H172" s="52">
        <f>BAZA_DUXONE!M65</f>
        <v/>
      </c>
      <c r="I172" s="52">
        <f>BAZA_DUXONE!J65</f>
        <v/>
      </c>
      <c r="J172" s="52">
        <f>BAZA_DUXONE!O65</f>
        <v/>
      </c>
      <c r="K172" s="52">
        <f>BAZA_DUXONE!H65</f>
        <v/>
      </c>
      <c r="L172" s="52">
        <f>BAZA_DUXONE!I65</f>
        <v/>
      </c>
      <c r="M172" s="52">
        <f>BAZA_DUXONE!R65</f>
        <v/>
      </c>
      <c r="N172" s="52">
        <f>BAZA_DUXONE!S65</f>
        <v/>
      </c>
    </row>
    <row r="173" ht="40" customHeight="1">
      <c r="A173" s="52">
        <f>BAZA_DUXONE!A66</f>
        <v/>
      </c>
      <c r="B173" s="52">
        <f>BAZA_DUXONE!B66</f>
        <v/>
      </c>
      <c r="C173" s="52">
        <f>BAZA_DUXONE!C66</f>
        <v/>
      </c>
      <c r="D173" s="52">
        <f>BAZA_DUXONE!G66</f>
        <v/>
      </c>
      <c r="E173" s="52">
        <f>BAZA_DUXONE!K66</f>
        <v/>
      </c>
      <c r="F173" s="52">
        <f>BAZA_DUXONE!F66</f>
        <v/>
      </c>
      <c r="G173" s="52">
        <f>BAZA_DUXONE!L66</f>
        <v/>
      </c>
      <c r="H173" s="52">
        <f>BAZA_DUXONE!M66</f>
        <v/>
      </c>
      <c r="I173" s="52">
        <f>BAZA_DUXONE!J66</f>
        <v/>
      </c>
      <c r="J173" s="52">
        <f>BAZA_DUXONE!O66</f>
        <v/>
      </c>
      <c r="K173" s="52">
        <f>BAZA_DUXONE!H66</f>
        <v/>
      </c>
      <c r="L173" s="52">
        <f>BAZA_DUXONE!I66</f>
        <v/>
      </c>
      <c r="M173" s="52">
        <f>BAZA_DUXONE!R66</f>
        <v/>
      </c>
      <c r="N173" s="52">
        <f>BAZA_DUXONE!S66</f>
        <v/>
      </c>
    </row>
    <row r="174" ht="40" customHeight="1">
      <c r="A174" s="52">
        <f>BAZA_DUXONE!A67</f>
        <v/>
      </c>
      <c r="B174" s="52">
        <f>BAZA_DUXONE!B67</f>
        <v/>
      </c>
      <c r="C174" s="52">
        <f>BAZA_DUXONE!C67</f>
        <v/>
      </c>
      <c r="D174" s="52">
        <f>BAZA_DUXONE!G67</f>
        <v/>
      </c>
      <c r="E174" s="52">
        <f>BAZA_DUXONE!K67</f>
        <v/>
      </c>
      <c r="F174" s="52">
        <f>BAZA_DUXONE!F67</f>
        <v/>
      </c>
      <c r="G174" s="52">
        <f>BAZA_DUXONE!L67</f>
        <v/>
      </c>
      <c r="H174" s="52">
        <f>BAZA_DUXONE!M67</f>
        <v/>
      </c>
      <c r="I174" s="52">
        <f>BAZA_DUXONE!J67</f>
        <v/>
      </c>
      <c r="J174" s="52">
        <f>BAZA_DUXONE!O67</f>
        <v/>
      </c>
      <c r="K174" s="52">
        <f>BAZA_DUXONE!H67</f>
        <v/>
      </c>
      <c r="L174" s="52">
        <f>BAZA_DUXONE!I67</f>
        <v/>
      </c>
      <c r="M174" s="52">
        <f>BAZA_DUXONE!R67</f>
        <v/>
      </c>
      <c r="N174" s="52">
        <f>BAZA_DUXONE!S67</f>
        <v/>
      </c>
    </row>
    <row r="175" ht="40" customHeight="1">
      <c r="A175" s="52">
        <f>BAZA_DUXONE!A68</f>
        <v/>
      </c>
      <c r="B175" s="52">
        <f>BAZA_DUXONE!B68</f>
        <v/>
      </c>
      <c r="C175" s="52">
        <f>BAZA_DUXONE!C68</f>
        <v/>
      </c>
      <c r="D175" s="52">
        <f>BAZA_DUXONE!G68</f>
        <v/>
      </c>
      <c r="E175" s="52">
        <f>BAZA_DUXONE!K68</f>
        <v/>
      </c>
      <c r="F175" s="52">
        <f>BAZA_DUXONE!F68</f>
        <v/>
      </c>
      <c r="G175" s="52">
        <f>BAZA_DUXONE!L68</f>
        <v/>
      </c>
      <c r="H175" s="52">
        <f>BAZA_DUXONE!M68</f>
        <v/>
      </c>
      <c r="I175" s="52">
        <f>BAZA_DUXONE!J68</f>
        <v/>
      </c>
      <c r="J175" s="52">
        <f>BAZA_DUXONE!O68</f>
        <v/>
      </c>
      <c r="K175" s="52">
        <f>BAZA_DUXONE!H68</f>
        <v/>
      </c>
      <c r="L175" s="52">
        <f>BAZA_DUXONE!I68</f>
        <v/>
      </c>
      <c r="M175" s="52">
        <f>BAZA_DUXONE!R68</f>
        <v/>
      </c>
      <c r="N175" s="52">
        <f>BAZA_DUXONE!S68</f>
        <v/>
      </c>
    </row>
    <row r="176" ht="40" customHeight="1">
      <c r="A176" s="52">
        <f>BAZA_DUXONE!A69</f>
        <v/>
      </c>
      <c r="B176" s="52">
        <f>BAZA_DUXONE!B69</f>
        <v/>
      </c>
      <c r="C176" s="52">
        <f>BAZA_DUXONE!C69</f>
        <v/>
      </c>
      <c r="D176" s="52">
        <f>BAZA_DUXONE!G69</f>
        <v/>
      </c>
      <c r="E176" s="52">
        <f>BAZA_DUXONE!K69</f>
        <v/>
      </c>
      <c r="F176" s="52">
        <f>BAZA_DUXONE!F69</f>
        <v/>
      </c>
      <c r="G176" s="52">
        <f>BAZA_DUXONE!L69</f>
        <v/>
      </c>
      <c r="H176" s="52">
        <f>BAZA_DUXONE!M69</f>
        <v/>
      </c>
      <c r="I176" s="52">
        <f>BAZA_DUXONE!J69</f>
        <v/>
      </c>
      <c r="J176" s="52">
        <f>BAZA_DUXONE!O69</f>
        <v/>
      </c>
      <c r="K176" s="52">
        <f>BAZA_DUXONE!H69</f>
        <v/>
      </c>
      <c r="L176" s="52">
        <f>BAZA_DUXONE!I69</f>
        <v/>
      </c>
      <c r="M176" s="52">
        <f>BAZA_DUXONE!R69</f>
        <v/>
      </c>
      <c r="N176" s="52">
        <f>BAZA_DUXONE!S69</f>
        <v/>
      </c>
    </row>
    <row r="177" ht="40" customHeight="1">
      <c r="A177" s="52">
        <f>BAZA_DUXONE!A70</f>
        <v/>
      </c>
      <c r="B177" s="52">
        <f>BAZA_DUXONE!B70</f>
        <v/>
      </c>
      <c r="C177" s="52">
        <f>BAZA_DUXONE!C70</f>
        <v/>
      </c>
      <c r="D177" s="52">
        <f>BAZA_DUXONE!G70</f>
        <v/>
      </c>
      <c r="E177" s="52">
        <f>BAZA_DUXONE!K70</f>
        <v/>
      </c>
      <c r="F177" s="52">
        <f>BAZA_DUXONE!F70</f>
        <v/>
      </c>
      <c r="G177" s="52">
        <f>BAZA_DUXONE!L70</f>
        <v/>
      </c>
      <c r="H177" s="52">
        <f>BAZA_DUXONE!M70</f>
        <v/>
      </c>
      <c r="I177" s="52">
        <f>BAZA_DUXONE!J70</f>
        <v/>
      </c>
      <c r="J177" s="52">
        <f>BAZA_DUXONE!O70</f>
        <v/>
      </c>
      <c r="K177" s="52">
        <f>BAZA_DUXONE!H70</f>
        <v/>
      </c>
      <c r="L177" s="52">
        <f>BAZA_DUXONE!I70</f>
        <v/>
      </c>
      <c r="M177" s="52">
        <f>BAZA_DUXONE!R70</f>
        <v/>
      </c>
      <c r="N177" s="52">
        <f>BAZA_DUXONE!S70</f>
        <v/>
      </c>
    </row>
    <row r="178" ht="40" customHeight="1">
      <c r="A178" s="52">
        <f>BAZA_DUXONE!A71</f>
        <v/>
      </c>
      <c r="B178" s="52">
        <f>BAZA_DUXONE!B71</f>
        <v/>
      </c>
      <c r="C178" s="52">
        <f>BAZA_DUXONE!C71</f>
        <v/>
      </c>
      <c r="D178" s="52">
        <f>BAZA_DUXONE!G71</f>
        <v/>
      </c>
      <c r="E178" s="52">
        <f>BAZA_DUXONE!K71</f>
        <v/>
      </c>
      <c r="F178" s="52">
        <f>BAZA_DUXONE!F71</f>
        <v/>
      </c>
      <c r="G178" s="52">
        <f>BAZA_DUXONE!L71</f>
        <v/>
      </c>
      <c r="H178" s="52">
        <f>BAZA_DUXONE!M71</f>
        <v/>
      </c>
      <c r="I178" s="52">
        <f>BAZA_DUXONE!J71</f>
        <v/>
      </c>
      <c r="J178" s="52">
        <f>BAZA_DUXONE!O71</f>
        <v/>
      </c>
      <c r="K178" s="52">
        <f>BAZA_DUXONE!H71</f>
        <v/>
      </c>
      <c r="L178" s="52">
        <f>BAZA_DUXONE!I71</f>
        <v/>
      </c>
      <c r="M178" s="52">
        <f>BAZA_DUXONE!R71</f>
        <v/>
      </c>
      <c r="N178" s="52">
        <f>BAZA_DUXONE!S71</f>
        <v/>
      </c>
    </row>
    <row r="179" ht="40" customHeight="1">
      <c r="A179" s="52">
        <f>BAZA_DUXONE!A72</f>
        <v/>
      </c>
      <c r="B179" s="52">
        <f>BAZA_DUXONE!B72</f>
        <v/>
      </c>
      <c r="C179" s="52">
        <f>BAZA_DUXONE!C72</f>
        <v/>
      </c>
      <c r="D179" s="52">
        <f>BAZA_DUXONE!G72</f>
        <v/>
      </c>
      <c r="E179" s="52">
        <f>BAZA_DUXONE!K72</f>
        <v/>
      </c>
      <c r="F179" s="52">
        <f>BAZA_DUXONE!F72</f>
        <v/>
      </c>
      <c r="G179" s="52">
        <f>BAZA_DUXONE!L72</f>
        <v/>
      </c>
      <c r="H179" s="52">
        <f>BAZA_DUXONE!M72</f>
        <v/>
      </c>
      <c r="I179" s="52">
        <f>BAZA_DUXONE!J72</f>
        <v/>
      </c>
      <c r="J179" s="52">
        <f>BAZA_DUXONE!O72</f>
        <v/>
      </c>
      <c r="K179" s="52">
        <f>BAZA_DUXONE!H72</f>
        <v/>
      </c>
      <c r="L179" s="52">
        <f>BAZA_DUXONE!I72</f>
        <v/>
      </c>
      <c r="M179" s="52">
        <f>BAZA_DUXONE!R72</f>
        <v/>
      </c>
      <c r="N179" s="52">
        <f>BAZA_DUXONE!S72</f>
        <v/>
      </c>
    </row>
    <row r="180" ht="40" customHeight="1">
      <c r="A180" s="52">
        <f>BAZA_DUXONE!A73</f>
        <v/>
      </c>
      <c r="B180" s="52">
        <f>BAZA_DUXONE!B73</f>
        <v/>
      </c>
      <c r="C180" s="52">
        <f>BAZA_DUXONE!C73</f>
        <v/>
      </c>
      <c r="D180" s="52">
        <f>BAZA_DUXONE!G73</f>
        <v/>
      </c>
      <c r="E180" s="52">
        <f>BAZA_DUXONE!K73</f>
        <v/>
      </c>
      <c r="F180" s="52">
        <f>BAZA_DUXONE!F73</f>
        <v/>
      </c>
      <c r="G180" s="52">
        <f>BAZA_DUXONE!L73</f>
        <v/>
      </c>
      <c r="H180" s="52">
        <f>BAZA_DUXONE!M73</f>
        <v/>
      </c>
      <c r="I180" s="52">
        <f>BAZA_DUXONE!J73</f>
        <v/>
      </c>
      <c r="J180" s="52">
        <f>BAZA_DUXONE!O73</f>
        <v/>
      </c>
      <c r="K180" s="52">
        <f>BAZA_DUXONE!H73</f>
        <v/>
      </c>
      <c r="L180" s="52">
        <f>BAZA_DUXONE!I73</f>
        <v/>
      </c>
      <c r="M180" s="52">
        <f>BAZA_DUXONE!R73</f>
        <v/>
      </c>
      <c r="N180" s="52">
        <f>BAZA_DUXONE!S73</f>
        <v/>
      </c>
    </row>
    <row r="181" ht="40" customHeight="1">
      <c r="A181" s="52">
        <f>BAZA_DUXONE!A74</f>
        <v/>
      </c>
      <c r="B181" s="52">
        <f>BAZA_DUXONE!B74</f>
        <v/>
      </c>
      <c r="C181" s="52">
        <f>BAZA_DUXONE!C74</f>
        <v/>
      </c>
      <c r="D181" s="52">
        <f>BAZA_DUXONE!G74</f>
        <v/>
      </c>
      <c r="E181" s="52">
        <f>BAZA_DUXONE!K74</f>
        <v/>
      </c>
      <c r="F181" s="52">
        <f>BAZA_DUXONE!F74</f>
        <v/>
      </c>
      <c r="G181" s="52">
        <f>BAZA_DUXONE!L74</f>
        <v/>
      </c>
      <c r="H181" s="52">
        <f>BAZA_DUXONE!M74</f>
        <v/>
      </c>
      <c r="I181" s="52">
        <f>BAZA_DUXONE!J74</f>
        <v/>
      </c>
      <c r="J181" s="52">
        <f>BAZA_DUXONE!O74</f>
        <v/>
      </c>
      <c r="K181" s="52">
        <f>BAZA_DUXONE!H74</f>
        <v/>
      </c>
      <c r="L181" s="52">
        <f>BAZA_DUXONE!I74</f>
        <v/>
      </c>
      <c r="M181" s="52">
        <f>BAZA_DUXONE!R74</f>
        <v/>
      </c>
      <c r="N181" s="52">
        <f>BAZA_DUXONE!S74</f>
        <v/>
      </c>
    </row>
    <row r="182" ht="40" customHeight="1">
      <c r="A182" s="52">
        <f>BAZA_DUXONE!A75</f>
        <v/>
      </c>
      <c r="B182" s="52">
        <f>BAZA_DUXONE!B75</f>
        <v/>
      </c>
      <c r="C182" s="52">
        <f>BAZA_DUXONE!C75</f>
        <v/>
      </c>
      <c r="D182" s="52">
        <f>BAZA_DUXONE!G75</f>
        <v/>
      </c>
      <c r="E182" s="52">
        <f>BAZA_DUXONE!K75</f>
        <v/>
      </c>
      <c r="F182" s="52">
        <f>BAZA_DUXONE!F75</f>
        <v/>
      </c>
      <c r="G182" s="52">
        <f>BAZA_DUXONE!L75</f>
        <v/>
      </c>
      <c r="H182" s="52">
        <f>BAZA_DUXONE!M75</f>
        <v/>
      </c>
      <c r="I182" s="52">
        <f>BAZA_DUXONE!J75</f>
        <v/>
      </c>
      <c r="J182" s="52">
        <f>BAZA_DUXONE!O75</f>
        <v/>
      </c>
      <c r="K182" s="52">
        <f>BAZA_DUXONE!H75</f>
        <v/>
      </c>
      <c r="L182" s="52">
        <f>BAZA_DUXONE!I75</f>
        <v/>
      </c>
      <c r="M182" s="52">
        <f>BAZA_DUXONE!R75</f>
        <v/>
      </c>
      <c r="N182" s="52">
        <f>BAZA_DUXONE!S75</f>
        <v/>
      </c>
    </row>
    <row r="183" ht="40" customHeight="1">
      <c r="A183" s="52">
        <f>BAZA_DUXONE!A76</f>
        <v/>
      </c>
      <c r="B183" s="52">
        <f>BAZA_DUXONE!B76</f>
        <v/>
      </c>
      <c r="C183" s="52">
        <f>BAZA_DUXONE!C76</f>
        <v/>
      </c>
      <c r="D183" s="52">
        <f>BAZA_DUXONE!G76</f>
        <v/>
      </c>
      <c r="E183" s="52">
        <f>BAZA_DUXONE!K76</f>
        <v/>
      </c>
      <c r="F183" s="52">
        <f>BAZA_DUXONE!F76</f>
        <v/>
      </c>
      <c r="G183" s="52">
        <f>BAZA_DUXONE!L76</f>
        <v/>
      </c>
      <c r="H183" s="52">
        <f>BAZA_DUXONE!M76</f>
        <v/>
      </c>
      <c r="I183" s="52">
        <f>BAZA_DUXONE!J76</f>
        <v/>
      </c>
      <c r="J183" s="52">
        <f>BAZA_DUXONE!O76</f>
        <v/>
      </c>
      <c r="K183" s="52">
        <f>BAZA_DUXONE!H76</f>
        <v/>
      </c>
      <c r="L183" s="52">
        <f>BAZA_DUXONE!I76</f>
        <v/>
      </c>
      <c r="M183" s="52">
        <f>BAZA_DUXONE!R76</f>
        <v/>
      </c>
      <c r="N183" s="52">
        <f>BAZA_DUXONE!S76</f>
        <v/>
      </c>
    </row>
    <row r="184" ht="40" customHeight="1">
      <c r="A184" s="52">
        <f>BAZA_DUXONE!A77</f>
        <v/>
      </c>
      <c r="B184" s="52">
        <f>BAZA_DUXONE!B77</f>
        <v/>
      </c>
      <c r="C184" s="52">
        <f>BAZA_DUXONE!C77</f>
        <v/>
      </c>
      <c r="D184" s="52">
        <f>BAZA_DUXONE!G77</f>
        <v/>
      </c>
      <c r="E184" s="52">
        <f>BAZA_DUXONE!K77</f>
        <v/>
      </c>
      <c r="F184" s="52">
        <f>BAZA_DUXONE!F77</f>
        <v/>
      </c>
      <c r="G184" s="52">
        <f>BAZA_DUXONE!L77</f>
        <v/>
      </c>
      <c r="H184" s="52">
        <f>BAZA_DUXONE!M77</f>
        <v/>
      </c>
      <c r="I184" s="52">
        <f>BAZA_DUXONE!J77</f>
        <v/>
      </c>
      <c r="J184" s="52">
        <f>BAZA_DUXONE!O77</f>
        <v/>
      </c>
      <c r="K184" s="52">
        <f>BAZA_DUXONE!H77</f>
        <v/>
      </c>
      <c r="L184" s="52">
        <f>BAZA_DUXONE!I77</f>
        <v/>
      </c>
      <c r="M184" s="52">
        <f>BAZA_DUXONE!R77</f>
        <v/>
      </c>
      <c r="N184" s="52">
        <f>BAZA_DUXONE!S77</f>
        <v/>
      </c>
    </row>
    <row r="185" ht="40" customHeight="1">
      <c r="A185" s="52">
        <f>BAZA_DUXONE!A78</f>
        <v/>
      </c>
      <c r="B185" s="52">
        <f>BAZA_DUXONE!B78</f>
        <v/>
      </c>
      <c r="C185" s="52">
        <f>BAZA_DUXONE!C78</f>
        <v/>
      </c>
      <c r="D185" s="52">
        <f>BAZA_DUXONE!G78</f>
        <v/>
      </c>
      <c r="E185" s="52">
        <f>BAZA_DUXONE!K78</f>
        <v/>
      </c>
      <c r="F185" s="52">
        <f>BAZA_DUXONE!F78</f>
        <v/>
      </c>
      <c r="G185" s="52">
        <f>BAZA_DUXONE!L78</f>
        <v/>
      </c>
      <c r="H185" s="52">
        <f>BAZA_DUXONE!M78</f>
        <v/>
      </c>
      <c r="I185" s="52">
        <f>BAZA_DUXONE!J78</f>
        <v/>
      </c>
      <c r="J185" s="52">
        <f>BAZA_DUXONE!O78</f>
        <v/>
      </c>
      <c r="K185" s="52">
        <f>BAZA_DUXONE!H78</f>
        <v/>
      </c>
      <c r="L185" s="52">
        <f>BAZA_DUXONE!I78</f>
        <v/>
      </c>
      <c r="M185" s="52">
        <f>BAZA_DUXONE!R78</f>
        <v/>
      </c>
      <c r="N185" s="52">
        <f>BAZA_DUXONE!S78</f>
        <v/>
      </c>
    </row>
    <row r="186" ht="40" customHeight="1">
      <c r="A186" s="52">
        <f>BAZA_DUXONE!A79</f>
        <v/>
      </c>
      <c r="B186" s="52">
        <f>BAZA_DUXONE!B79</f>
        <v/>
      </c>
      <c r="C186" s="52">
        <f>BAZA_DUXONE!C79</f>
        <v/>
      </c>
      <c r="D186" s="52">
        <f>BAZA_DUXONE!G79</f>
        <v/>
      </c>
      <c r="E186" s="52">
        <f>BAZA_DUXONE!K79</f>
        <v/>
      </c>
      <c r="F186" s="52">
        <f>BAZA_DUXONE!F79</f>
        <v/>
      </c>
      <c r="G186" s="52">
        <f>BAZA_DUXONE!L79</f>
        <v/>
      </c>
      <c r="H186" s="52">
        <f>BAZA_DUXONE!M79</f>
        <v/>
      </c>
      <c r="I186" s="52">
        <f>BAZA_DUXONE!J79</f>
        <v/>
      </c>
      <c r="J186" s="52">
        <f>BAZA_DUXONE!O79</f>
        <v/>
      </c>
      <c r="K186" s="52">
        <f>BAZA_DUXONE!H79</f>
        <v/>
      </c>
      <c r="L186" s="52">
        <f>BAZA_DUXONE!I79</f>
        <v/>
      </c>
      <c r="M186" s="52">
        <f>BAZA_DUXONE!R79</f>
        <v/>
      </c>
      <c r="N186" s="52">
        <f>BAZA_DUXONE!S79</f>
        <v/>
      </c>
    </row>
    <row r="187" ht="40" customHeight="1">
      <c r="A187" s="52">
        <f>BAZA_DUXONE!A80</f>
        <v/>
      </c>
      <c r="B187" s="52">
        <f>BAZA_DUXONE!B80</f>
        <v/>
      </c>
      <c r="C187" s="52">
        <f>BAZA_DUXONE!C80</f>
        <v/>
      </c>
      <c r="D187" s="52">
        <f>BAZA_DUXONE!G80</f>
        <v/>
      </c>
      <c r="E187" s="52">
        <f>BAZA_DUXONE!K80</f>
        <v/>
      </c>
      <c r="F187" s="52">
        <f>BAZA_DUXONE!F80</f>
        <v/>
      </c>
      <c r="G187" s="52">
        <f>BAZA_DUXONE!L80</f>
        <v/>
      </c>
      <c r="H187" s="52">
        <f>BAZA_DUXONE!M80</f>
        <v/>
      </c>
      <c r="I187" s="52">
        <f>BAZA_DUXONE!J80</f>
        <v/>
      </c>
      <c r="J187" s="52">
        <f>BAZA_DUXONE!O80</f>
        <v/>
      </c>
      <c r="K187" s="52">
        <f>BAZA_DUXONE!H80</f>
        <v/>
      </c>
      <c r="L187" s="52">
        <f>BAZA_DUXONE!I80</f>
        <v/>
      </c>
      <c r="M187" s="52">
        <f>BAZA_DUXONE!R80</f>
        <v/>
      </c>
      <c r="N187" s="52">
        <f>BAZA_DUXONE!S80</f>
        <v/>
      </c>
    </row>
    <row r="188" ht="40" customHeight="1">
      <c r="A188" s="52">
        <f>BAZA_DUXONE!A81</f>
        <v/>
      </c>
      <c r="B188" s="52">
        <f>BAZA_DUXONE!B81</f>
        <v/>
      </c>
      <c r="C188" s="52">
        <f>BAZA_DUXONE!C81</f>
        <v/>
      </c>
      <c r="D188" s="52">
        <f>BAZA_DUXONE!G81</f>
        <v/>
      </c>
      <c r="E188" s="52">
        <f>BAZA_DUXONE!K81</f>
        <v/>
      </c>
      <c r="F188" s="52">
        <f>BAZA_DUXONE!F81</f>
        <v/>
      </c>
      <c r="G188" s="52">
        <f>BAZA_DUXONE!L81</f>
        <v/>
      </c>
      <c r="H188" s="52">
        <f>BAZA_DUXONE!M81</f>
        <v/>
      </c>
      <c r="I188" s="52">
        <f>BAZA_DUXONE!J81</f>
        <v/>
      </c>
      <c r="J188" s="52">
        <f>BAZA_DUXONE!O81</f>
        <v/>
      </c>
      <c r="K188" s="52">
        <f>BAZA_DUXONE!H81</f>
        <v/>
      </c>
      <c r="L188" s="52">
        <f>BAZA_DUXONE!I81</f>
        <v/>
      </c>
      <c r="M188" s="52">
        <f>BAZA_DUXONE!R81</f>
        <v/>
      </c>
      <c r="N188" s="52">
        <f>BAZA_DUXONE!S81</f>
        <v/>
      </c>
    </row>
    <row r="189" ht="40" customHeight="1">
      <c r="A189" s="52">
        <f>BAZA_DUXONE!A82</f>
        <v/>
      </c>
      <c r="B189" s="52">
        <f>BAZA_DUXONE!B82</f>
        <v/>
      </c>
      <c r="C189" s="52">
        <f>BAZA_DUXONE!C82</f>
        <v/>
      </c>
      <c r="D189" s="52">
        <f>BAZA_DUXONE!G82</f>
        <v/>
      </c>
      <c r="E189" s="52">
        <f>BAZA_DUXONE!K82</f>
        <v/>
      </c>
      <c r="F189" s="52">
        <f>BAZA_DUXONE!F82</f>
        <v/>
      </c>
      <c r="G189" s="52">
        <f>BAZA_DUXONE!L82</f>
        <v/>
      </c>
      <c r="H189" s="52">
        <f>BAZA_DUXONE!M82</f>
        <v/>
      </c>
      <c r="I189" s="52">
        <f>BAZA_DUXONE!J82</f>
        <v/>
      </c>
      <c r="J189" s="52">
        <f>BAZA_DUXONE!O82</f>
        <v/>
      </c>
      <c r="K189" s="52">
        <f>BAZA_DUXONE!H82</f>
        <v/>
      </c>
      <c r="L189" s="52">
        <f>BAZA_DUXONE!I82</f>
        <v/>
      </c>
      <c r="M189" s="52">
        <f>BAZA_DUXONE!R82</f>
        <v/>
      </c>
      <c r="N189" s="52">
        <f>BAZA_DUXONE!S82</f>
        <v/>
      </c>
    </row>
    <row r="190" ht="40" customHeight="1">
      <c r="A190" s="52">
        <f>BAZA_DUXONE!A83</f>
        <v/>
      </c>
      <c r="B190" s="52">
        <f>BAZA_DUXONE!B83</f>
        <v/>
      </c>
      <c r="C190" s="52">
        <f>BAZA_DUXONE!C83</f>
        <v/>
      </c>
      <c r="D190" s="52">
        <f>BAZA_DUXONE!G83</f>
        <v/>
      </c>
      <c r="E190" s="52">
        <f>BAZA_DUXONE!K83</f>
        <v/>
      </c>
      <c r="F190" s="52">
        <f>BAZA_DUXONE!F83</f>
        <v/>
      </c>
      <c r="G190" s="52">
        <f>BAZA_DUXONE!L83</f>
        <v/>
      </c>
      <c r="H190" s="52">
        <f>BAZA_DUXONE!M83</f>
        <v/>
      </c>
      <c r="I190" s="52">
        <f>BAZA_DUXONE!J83</f>
        <v/>
      </c>
      <c r="J190" s="52">
        <f>BAZA_DUXONE!O83</f>
        <v/>
      </c>
      <c r="K190" s="52">
        <f>BAZA_DUXONE!H83</f>
        <v/>
      </c>
      <c r="L190" s="52">
        <f>BAZA_DUXONE!I83</f>
        <v/>
      </c>
      <c r="M190" s="52">
        <f>BAZA_DUXONE!R83</f>
        <v/>
      </c>
      <c r="N190" s="52">
        <f>BAZA_DUXONE!S83</f>
        <v/>
      </c>
    </row>
    <row r="191" ht="40" customHeight="1">
      <c r="A191" s="52">
        <f>BAZA_DUXONE!A84</f>
        <v/>
      </c>
      <c r="B191" s="52">
        <f>BAZA_DUXONE!B84</f>
        <v/>
      </c>
      <c r="C191" s="52">
        <f>BAZA_DUXONE!C84</f>
        <v/>
      </c>
      <c r="D191" s="52">
        <f>BAZA_DUXONE!G84</f>
        <v/>
      </c>
      <c r="E191" s="52">
        <f>BAZA_DUXONE!K84</f>
        <v/>
      </c>
      <c r="F191" s="52">
        <f>BAZA_DUXONE!F84</f>
        <v/>
      </c>
      <c r="G191" s="52">
        <f>BAZA_DUXONE!L84</f>
        <v/>
      </c>
      <c r="H191" s="52">
        <f>BAZA_DUXONE!M84</f>
        <v/>
      </c>
      <c r="I191" s="52">
        <f>BAZA_DUXONE!J84</f>
        <v/>
      </c>
      <c r="J191" s="52">
        <f>BAZA_DUXONE!O84</f>
        <v/>
      </c>
      <c r="K191" s="52">
        <f>BAZA_DUXONE!H84</f>
        <v/>
      </c>
      <c r="L191" s="52">
        <f>BAZA_DUXONE!I84</f>
        <v/>
      </c>
      <c r="M191" s="52">
        <f>BAZA_DUXONE!R84</f>
        <v/>
      </c>
      <c r="N191" s="52">
        <f>BAZA_DUXONE!S84</f>
        <v/>
      </c>
    </row>
    <row r="192" ht="40" customHeight="1">
      <c r="A192" s="52">
        <f>BAZA_DUXONE!A85</f>
        <v/>
      </c>
      <c r="B192" s="52">
        <f>BAZA_DUXONE!B85</f>
        <v/>
      </c>
      <c r="C192" s="52">
        <f>BAZA_DUXONE!C85</f>
        <v/>
      </c>
      <c r="D192" s="52">
        <f>BAZA_DUXONE!G85</f>
        <v/>
      </c>
      <c r="E192" s="52">
        <f>BAZA_DUXONE!K85</f>
        <v/>
      </c>
      <c r="F192" s="52">
        <f>BAZA_DUXONE!F85</f>
        <v/>
      </c>
      <c r="G192" s="52">
        <f>BAZA_DUXONE!L85</f>
        <v/>
      </c>
      <c r="H192" s="52">
        <f>BAZA_DUXONE!M85</f>
        <v/>
      </c>
      <c r="I192" s="52">
        <f>BAZA_DUXONE!J85</f>
        <v/>
      </c>
      <c r="J192" s="52">
        <f>BAZA_DUXONE!O85</f>
        <v/>
      </c>
      <c r="K192" s="52">
        <f>BAZA_DUXONE!H85</f>
        <v/>
      </c>
      <c r="L192" s="52">
        <f>BAZA_DUXONE!I85</f>
        <v/>
      </c>
      <c r="M192" s="52">
        <f>BAZA_DUXONE!R85</f>
        <v/>
      </c>
      <c r="N192" s="52">
        <f>BAZA_DUXONE!S85</f>
        <v/>
      </c>
    </row>
    <row r="193" ht="40" customHeight="1">
      <c r="A193" s="52">
        <f>BAZA_DUXONE!A86</f>
        <v/>
      </c>
      <c r="B193" s="52">
        <f>BAZA_DUXONE!B86</f>
        <v/>
      </c>
      <c r="C193" s="52">
        <f>BAZA_DUXONE!C86</f>
        <v/>
      </c>
      <c r="D193" s="52">
        <f>BAZA_DUXONE!G86</f>
        <v/>
      </c>
      <c r="E193" s="52">
        <f>BAZA_DUXONE!K86</f>
        <v/>
      </c>
      <c r="F193" s="52">
        <f>BAZA_DUXONE!F86</f>
        <v/>
      </c>
      <c r="G193" s="52">
        <f>BAZA_DUXONE!L86</f>
        <v/>
      </c>
      <c r="H193" s="52">
        <f>BAZA_DUXONE!M86</f>
        <v/>
      </c>
      <c r="I193" s="52">
        <f>BAZA_DUXONE!J86</f>
        <v/>
      </c>
      <c r="J193" s="52">
        <f>BAZA_DUXONE!O86</f>
        <v/>
      </c>
      <c r="K193" s="52">
        <f>BAZA_DUXONE!H86</f>
        <v/>
      </c>
      <c r="L193" s="52">
        <f>BAZA_DUXONE!I86</f>
        <v/>
      </c>
      <c r="M193" s="52">
        <f>BAZA_DUXONE!R86</f>
        <v/>
      </c>
      <c r="N193" s="52">
        <f>BAZA_DUXONE!S86</f>
        <v/>
      </c>
    </row>
    <row r="194" ht="40" customHeight="1">
      <c r="A194" s="52">
        <f>BAZA_DUXONE!A87</f>
        <v/>
      </c>
      <c r="B194" s="52">
        <f>BAZA_DUXONE!B87</f>
        <v/>
      </c>
      <c r="C194" s="52">
        <f>BAZA_DUXONE!C87</f>
        <v/>
      </c>
      <c r="D194" s="52">
        <f>BAZA_DUXONE!G87</f>
        <v/>
      </c>
      <c r="E194" s="52">
        <f>BAZA_DUXONE!K87</f>
        <v/>
      </c>
      <c r="F194" s="52">
        <f>BAZA_DUXONE!F87</f>
        <v/>
      </c>
      <c r="G194" s="52">
        <f>BAZA_DUXONE!L87</f>
        <v/>
      </c>
      <c r="H194" s="52">
        <f>BAZA_DUXONE!M87</f>
        <v/>
      </c>
      <c r="I194" s="52">
        <f>BAZA_DUXONE!J87</f>
        <v/>
      </c>
      <c r="J194" s="52">
        <f>BAZA_DUXONE!O87</f>
        <v/>
      </c>
      <c r="K194" s="52">
        <f>BAZA_DUXONE!H87</f>
        <v/>
      </c>
      <c r="L194" s="52">
        <f>BAZA_DUXONE!I87</f>
        <v/>
      </c>
      <c r="M194" s="52">
        <f>BAZA_DUXONE!R87</f>
        <v/>
      </c>
      <c r="N194" s="52">
        <f>BAZA_DUXONE!S87</f>
        <v/>
      </c>
    </row>
  </sheetData>
  <autoFilter ref="A8:N194"/>
  <mergeCells count="3">
    <mergeCell ref="B4:N4"/>
    <mergeCell ref="A2:N2"/>
    <mergeCell ref="A1:N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70" customWidth="1" min="3" max="3"/>
  </cols>
  <sheetData>
    <row r="1" ht="28" customHeight="1">
      <c r="A1" s="1" t="inlineStr">
        <is>
          <t>USTAWIENIA SYSTEMU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</row>
    <row r="2" ht="18" customHeight="1">
      <c r="A2" s="3" t="inlineStr">
        <is>
          <t>Parametry globalne. Komórki złote — do edycji.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</row>
    <row r="8">
      <c r="A8" s="34" t="inlineStr">
        <is>
          <t>Autor domyślny</t>
        </is>
      </c>
      <c r="B8" s="8" t="inlineStr">
        <is>
          <t>Sylwek</t>
        </is>
      </c>
      <c r="C8" t="inlineStr">
        <is>
          <t>Wpisz nazwisko lakiernika — trafia do nowych receptur.</t>
        </is>
      </c>
    </row>
    <row r="9">
      <c r="A9" s="34" t="inlineStr">
        <is>
          <t>Jednostka masy</t>
        </is>
      </c>
      <c r="B9" s="8" t="inlineStr">
        <is>
          <t>g</t>
        </is>
      </c>
    </row>
    <row r="10">
      <c r="A10" s="34" t="inlineStr">
        <is>
          <t>Tolerancja sumy %</t>
        </is>
      </c>
      <c r="B10" s="18" t="n">
        <v>0.15</v>
      </c>
      <c r="C10" t="inlineStr">
        <is>
          <t>Jeżeli |suma % − 100| &gt; tolerancji, START i ANALIZA pokażą ostrzeżenie.</t>
        </is>
      </c>
    </row>
    <row r="11">
      <c r="A11" s="34" t="inlineStr">
        <is>
          <t>Ochrona arkuszy</t>
        </is>
      </c>
      <c r="B11" s="8" t="inlineStr">
        <is>
          <t>WYŁĄCZONA</t>
        </is>
      </c>
      <c r="C11" t="inlineStr">
        <is>
          <t>Arkusze bez hasła — pełna edycja i zapis. Złote = wpis, szare = formuła.</t>
        </is>
      </c>
    </row>
    <row r="12">
      <c r="A12" s="34" t="inlineStr">
        <is>
          <t>Następny numer RC</t>
        </is>
      </c>
      <c r="B12" s="8" t="n">
        <v>2</v>
      </c>
    </row>
    <row r="13">
      <c r="A13" s="34" t="inlineStr">
        <is>
          <t>Prefiks numeru</t>
        </is>
      </c>
      <c r="B13" s="8" t="inlineStr">
        <is>
          <t>RC-</t>
        </is>
      </c>
    </row>
    <row r="14">
      <c r="A14" s="34" t="inlineStr">
        <is>
          <t>Masa preset 1 (g)</t>
        </is>
      </c>
      <c r="B14" s="8" t="n">
        <v>100</v>
      </c>
    </row>
    <row r="15">
      <c r="A15" s="34" t="inlineStr">
        <is>
          <t>Masa preset 2 (g)</t>
        </is>
      </c>
      <c r="B15" s="8" t="n">
        <v>500</v>
      </c>
    </row>
    <row r="16">
      <c r="A16" s="34" t="inlineStr">
        <is>
          <t>Masa preset 3 (g)</t>
        </is>
      </c>
      <c r="B16" s="8" t="n">
        <v>1000</v>
      </c>
    </row>
    <row r="17">
      <c r="A17" s="34" t="inlineStr">
        <is>
          <t>Wersja systemu</t>
        </is>
      </c>
      <c r="B17" s="8" t="inlineStr">
        <is>
          <t>1.0</t>
        </is>
      </c>
    </row>
    <row r="19">
      <c r="A19" s="34" t="inlineStr">
        <is>
          <t>ZASADA KLUCZA PIGMENTU</t>
        </is>
      </c>
    </row>
    <row r="20">
      <c r="A20" s="47" t="inlineStr">
        <is>
          <t>Pigmenty z różnych systemów o tym samym numerze są różne. Klucz = SYSTEM &amp; "|" &amp; NR_PIGMENTU, np. AUTOCOLOR|123 oraz DUXONE|123. Mieszanie systemów w jednej recepturze jest dozwolone i wymagane.</t>
        </is>
      </c>
    </row>
    <row r="21"/>
    <row r="22"/>
  </sheetData>
  <mergeCells count="3">
    <mergeCell ref="A2:F2"/>
    <mergeCell ref="A1:F1"/>
    <mergeCell ref="A20:F2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S508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8" customWidth="1" min="3" max="3"/>
    <col width="14" customWidth="1" min="4" max="4"/>
    <col width="16" customWidth="1" min="5" max="5"/>
    <col width="32" customWidth="1" min="6" max="6"/>
    <col width="14" customWidth="1" min="7" max="7"/>
    <col width="14" customWidth="1" min="8" max="8"/>
    <col width="14" customWidth="1" min="9" max="9"/>
  </cols>
  <sheetData>
    <row r="1" ht="28" customHeight="1">
      <c r="A1" s="1" t="inlineStr">
        <is>
          <t>HISTORIA — POZYCJE WERSJI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</row>
    <row r="2" ht="18" customHeight="1">
      <c r="A2" s="3" t="inlineStr">
        <is>
          <t>Szczegóły składu zapisanych wersji. Klucz powiązania = ID + WERSJA.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</row>
    <row r="8">
      <c r="A8" s="26" t="inlineStr">
        <is>
          <t>ID</t>
        </is>
      </c>
      <c r="B8" s="26" t="inlineStr">
        <is>
          <t>WERSJA</t>
        </is>
      </c>
      <c r="C8" s="26" t="inlineStr">
        <is>
          <t>LP</t>
        </is>
      </c>
      <c r="D8" s="26" t="inlineStr">
        <is>
          <t>SYSTEM</t>
        </is>
      </c>
      <c r="E8" s="26" t="inlineStr">
        <is>
          <t>NR PIGMENTU</t>
        </is>
      </c>
      <c r="F8" s="26" t="inlineStr">
        <is>
          <t>NAZWA</t>
        </is>
      </c>
      <c r="G8" s="26" t="inlineStr">
        <is>
          <t>ILOŚĆ ORYG.</t>
        </is>
      </c>
      <c r="H8" s="26" t="inlineStr">
        <is>
          <t>ILOŚĆ WŁASNA</t>
        </is>
      </c>
      <c r="I8" s="26" t="inlineStr">
        <is>
          <t>STATUS</t>
        </is>
      </c>
    </row>
    <row r="9">
      <c r="A9" s="8" t="n"/>
      <c r="B9" s="8" t="n"/>
      <c r="C9" s="8" t="n"/>
      <c r="D9" s="8" t="n"/>
      <c r="E9" s="8" t="n"/>
      <c r="F9" s="8" t="n"/>
      <c r="G9" s="8" t="n"/>
      <c r="H9" s="8" t="n"/>
      <c r="I9" s="8" t="n"/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</row>
    <row r="17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</row>
    <row r="19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</row>
    <row r="21">
      <c r="A21" s="8" t="n"/>
      <c r="B21" s="8" t="n"/>
      <c r="C21" s="8" t="n"/>
      <c r="D21" s="8" t="n"/>
      <c r="E21" s="8" t="n"/>
      <c r="F21" s="8" t="n"/>
      <c r="G21" s="8" t="n"/>
      <c r="H21" s="8" t="n"/>
      <c r="I21" s="8" t="n"/>
    </row>
    <row r="22">
      <c r="A22" s="8" t="n"/>
      <c r="B22" s="8" t="n"/>
      <c r="C22" s="8" t="n"/>
      <c r="D22" s="8" t="n"/>
      <c r="E22" s="8" t="n"/>
      <c r="F22" s="8" t="n"/>
      <c r="G22" s="8" t="n"/>
      <c r="H22" s="8" t="n"/>
      <c r="I22" s="8" t="n"/>
    </row>
    <row r="23">
      <c r="A23" s="8" t="n"/>
      <c r="B23" s="8" t="n"/>
      <c r="C23" s="8" t="n"/>
      <c r="D23" s="8" t="n"/>
      <c r="E23" s="8" t="n"/>
      <c r="F23" s="8" t="n"/>
      <c r="G23" s="8" t="n"/>
      <c r="H23" s="8" t="n"/>
      <c r="I23" s="8" t="n"/>
    </row>
    <row r="24">
      <c r="A24" s="8" t="n"/>
      <c r="B24" s="8" t="n"/>
      <c r="C24" s="8" t="n"/>
      <c r="D24" s="8" t="n"/>
      <c r="E24" s="8" t="n"/>
      <c r="F24" s="8" t="n"/>
      <c r="G24" s="8" t="n"/>
      <c r="H24" s="8" t="n"/>
      <c r="I24" s="8" t="n"/>
    </row>
    <row r="25">
      <c r="A25" s="8" t="n"/>
      <c r="B25" s="8" t="n"/>
      <c r="C25" s="8" t="n"/>
      <c r="D25" s="8" t="n"/>
      <c r="E25" s="8" t="n"/>
      <c r="F25" s="8" t="n"/>
      <c r="G25" s="8" t="n"/>
      <c r="H25" s="8" t="n"/>
      <c r="I25" s="8" t="n"/>
    </row>
    <row r="26">
      <c r="A26" s="8" t="n"/>
      <c r="B26" s="8" t="n"/>
      <c r="C26" s="8" t="n"/>
      <c r="D26" s="8" t="n"/>
      <c r="E26" s="8" t="n"/>
      <c r="F26" s="8" t="n"/>
      <c r="G26" s="8" t="n"/>
      <c r="H26" s="8" t="n"/>
      <c r="I26" s="8" t="n"/>
    </row>
    <row r="27">
      <c r="A27" s="8" t="n"/>
      <c r="B27" s="8" t="n"/>
      <c r="C27" s="8" t="n"/>
      <c r="D27" s="8" t="n"/>
      <c r="E27" s="8" t="n"/>
      <c r="F27" s="8" t="n"/>
      <c r="G27" s="8" t="n"/>
      <c r="H27" s="8" t="n"/>
      <c r="I27" s="8" t="n"/>
    </row>
    <row r="28">
      <c r="A28" s="8" t="n"/>
      <c r="B28" s="8" t="n"/>
      <c r="C28" s="8" t="n"/>
      <c r="D28" s="8" t="n"/>
      <c r="E28" s="8" t="n"/>
      <c r="F28" s="8" t="n"/>
      <c r="G28" s="8" t="n"/>
      <c r="H28" s="8" t="n"/>
      <c r="I28" s="8" t="n"/>
    </row>
    <row r="29">
      <c r="A29" s="8" t="n"/>
      <c r="B29" s="8" t="n"/>
      <c r="C29" s="8" t="n"/>
      <c r="D29" s="8" t="n"/>
      <c r="E29" s="8" t="n"/>
      <c r="F29" s="8" t="n"/>
      <c r="G29" s="8" t="n"/>
      <c r="H29" s="8" t="n"/>
      <c r="I29" s="8" t="n"/>
    </row>
    <row r="30">
      <c r="A30" s="8" t="n"/>
      <c r="B30" s="8" t="n"/>
      <c r="C30" s="8" t="n"/>
      <c r="D30" s="8" t="n"/>
      <c r="E30" s="8" t="n"/>
      <c r="F30" s="8" t="n"/>
      <c r="G30" s="8" t="n"/>
      <c r="H30" s="8" t="n"/>
      <c r="I30" s="8" t="n"/>
    </row>
    <row r="31">
      <c r="A31" s="8" t="n"/>
      <c r="B31" s="8" t="n"/>
      <c r="C31" s="8" t="n"/>
      <c r="D31" s="8" t="n"/>
      <c r="E31" s="8" t="n"/>
      <c r="F31" s="8" t="n"/>
      <c r="G31" s="8" t="n"/>
      <c r="H31" s="8" t="n"/>
      <c r="I31" s="8" t="n"/>
    </row>
    <row r="32">
      <c r="A32" s="8" t="n"/>
      <c r="B32" s="8" t="n"/>
      <c r="C32" s="8" t="n"/>
      <c r="D32" s="8" t="n"/>
      <c r="E32" s="8" t="n"/>
      <c r="F32" s="8" t="n"/>
      <c r="G32" s="8" t="n"/>
      <c r="H32" s="8" t="n"/>
      <c r="I32" s="8" t="n"/>
    </row>
    <row r="33">
      <c r="A33" s="8" t="n"/>
      <c r="B33" s="8" t="n"/>
      <c r="C33" s="8" t="n"/>
      <c r="D33" s="8" t="n"/>
      <c r="E33" s="8" t="n"/>
      <c r="F33" s="8" t="n"/>
      <c r="G33" s="8" t="n"/>
      <c r="H33" s="8" t="n"/>
      <c r="I33" s="8" t="n"/>
    </row>
    <row r="34">
      <c r="A34" s="8" t="n"/>
      <c r="B34" s="8" t="n"/>
      <c r="C34" s="8" t="n"/>
      <c r="D34" s="8" t="n"/>
      <c r="E34" s="8" t="n"/>
      <c r="F34" s="8" t="n"/>
      <c r="G34" s="8" t="n"/>
      <c r="H34" s="8" t="n"/>
      <c r="I34" s="8" t="n"/>
    </row>
    <row r="35">
      <c r="A35" s="8" t="n"/>
      <c r="B35" s="8" t="n"/>
      <c r="C35" s="8" t="n"/>
      <c r="D35" s="8" t="n"/>
      <c r="E35" s="8" t="n"/>
      <c r="F35" s="8" t="n"/>
      <c r="G35" s="8" t="n"/>
      <c r="H35" s="8" t="n"/>
      <c r="I35" s="8" t="n"/>
    </row>
    <row r="36">
      <c r="A36" s="8" t="n"/>
      <c r="B36" s="8" t="n"/>
      <c r="C36" s="8" t="n"/>
      <c r="D36" s="8" t="n"/>
      <c r="E36" s="8" t="n"/>
      <c r="F36" s="8" t="n"/>
      <c r="G36" s="8" t="n"/>
      <c r="H36" s="8" t="n"/>
      <c r="I36" s="8" t="n"/>
    </row>
    <row r="37">
      <c r="A37" s="8" t="n"/>
      <c r="B37" s="8" t="n"/>
      <c r="C37" s="8" t="n"/>
      <c r="D37" s="8" t="n"/>
      <c r="E37" s="8" t="n"/>
      <c r="F37" s="8" t="n"/>
      <c r="G37" s="8" t="n"/>
      <c r="H37" s="8" t="n"/>
      <c r="I37" s="8" t="n"/>
    </row>
    <row r="38">
      <c r="A38" s="8" t="n"/>
      <c r="B38" s="8" t="n"/>
      <c r="C38" s="8" t="n"/>
      <c r="D38" s="8" t="n"/>
      <c r="E38" s="8" t="n"/>
      <c r="F38" s="8" t="n"/>
      <c r="G38" s="8" t="n"/>
      <c r="H38" s="8" t="n"/>
      <c r="I38" s="8" t="n"/>
    </row>
    <row r="39">
      <c r="A39" s="8" t="n"/>
      <c r="B39" s="8" t="n"/>
      <c r="C39" s="8" t="n"/>
      <c r="D39" s="8" t="n"/>
      <c r="E39" s="8" t="n"/>
      <c r="F39" s="8" t="n"/>
      <c r="G39" s="8" t="n"/>
      <c r="H39" s="8" t="n"/>
      <c r="I39" s="8" t="n"/>
    </row>
    <row r="40">
      <c r="A40" s="8" t="n"/>
      <c r="B40" s="8" t="n"/>
      <c r="C40" s="8" t="n"/>
      <c r="D40" s="8" t="n"/>
      <c r="E40" s="8" t="n"/>
      <c r="F40" s="8" t="n"/>
      <c r="G40" s="8" t="n"/>
      <c r="H40" s="8" t="n"/>
      <c r="I40" s="8" t="n"/>
    </row>
    <row r="41">
      <c r="A41" s="8" t="n"/>
      <c r="B41" s="8" t="n"/>
      <c r="C41" s="8" t="n"/>
      <c r="D41" s="8" t="n"/>
      <c r="E41" s="8" t="n"/>
      <c r="F41" s="8" t="n"/>
      <c r="G41" s="8" t="n"/>
      <c r="H41" s="8" t="n"/>
      <c r="I41" s="8" t="n"/>
    </row>
    <row r="42">
      <c r="A42" s="8" t="n"/>
      <c r="B42" s="8" t="n"/>
      <c r="C42" s="8" t="n"/>
      <c r="D42" s="8" t="n"/>
      <c r="E42" s="8" t="n"/>
      <c r="F42" s="8" t="n"/>
      <c r="G42" s="8" t="n"/>
      <c r="H42" s="8" t="n"/>
      <c r="I42" s="8" t="n"/>
    </row>
    <row r="43">
      <c r="A43" s="8" t="n"/>
      <c r="B43" s="8" t="n"/>
      <c r="C43" s="8" t="n"/>
      <c r="D43" s="8" t="n"/>
      <c r="E43" s="8" t="n"/>
      <c r="F43" s="8" t="n"/>
      <c r="G43" s="8" t="n"/>
      <c r="H43" s="8" t="n"/>
      <c r="I43" s="8" t="n"/>
    </row>
    <row r="44">
      <c r="A44" s="8" t="n"/>
      <c r="B44" s="8" t="n"/>
      <c r="C44" s="8" t="n"/>
      <c r="D44" s="8" t="n"/>
      <c r="E44" s="8" t="n"/>
      <c r="F44" s="8" t="n"/>
      <c r="G44" s="8" t="n"/>
      <c r="H44" s="8" t="n"/>
      <c r="I44" s="8" t="n"/>
    </row>
    <row r="45">
      <c r="A45" s="8" t="n"/>
      <c r="B45" s="8" t="n"/>
      <c r="C45" s="8" t="n"/>
      <c r="D45" s="8" t="n"/>
      <c r="E45" s="8" t="n"/>
      <c r="F45" s="8" t="n"/>
      <c r="G45" s="8" t="n"/>
      <c r="H45" s="8" t="n"/>
      <c r="I45" s="8" t="n"/>
    </row>
    <row r="46">
      <c r="A46" s="8" t="n"/>
      <c r="B46" s="8" t="n"/>
      <c r="C46" s="8" t="n"/>
      <c r="D46" s="8" t="n"/>
      <c r="E46" s="8" t="n"/>
      <c r="F46" s="8" t="n"/>
      <c r="G46" s="8" t="n"/>
      <c r="H46" s="8" t="n"/>
      <c r="I46" s="8" t="n"/>
    </row>
    <row r="47">
      <c r="A47" s="8" t="n"/>
      <c r="B47" s="8" t="n"/>
      <c r="C47" s="8" t="n"/>
      <c r="D47" s="8" t="n"/>
      <c r="E47" s="8" t="n"/>
      <c r="F47" s="8" t="n"/>
      <c r="G47" s="8" t="n"/>
      <c r="H47" s="8" t="n"/>
      <c r="I47" s="8" t="n"/>
    </row>
    <row r="48">
      <c r="A48" s="8" t="n"/>
      <c r="B48" s="8" t="n"/>
      <c r="C48" s="8" t="n"/>
      <c r="D48" s="8" t="n"/>
      <c r="E48" s="8" t="n"/>
      <c r="F48" s="8" t="n"/>
      <c r="G48" s="8" t="n"/>
      <c r="H48" s="8" t="n"/>
      <c r="I48" s="8" t="n"/>
    </row>
    <row r="49">
      <c r="A49" s="8" t="n"/>
      <c r="B49" s="8" t="n"/>
      <c r="C49" s="8" t="n"/>
      <c r="D49" s="8" t="n"/>
      <c r="E49" s="8" t="n"/>
      <c r="F49" s="8" t="n"/>
      <c r="G49" s="8" t="n"/>
      <c r="H49" s="8" t="n"/>
      <c r="I49" s="8" t="n"/>
    </row>
    <row r="50">
      <c r="A50" s="8" t="n"/>
      <c r="B50" s="8" t="n"/>
      <c r="C50" s="8" t="n"/>
      <c r="D50" s="8" t="n"/>
      <c r="E50" s="8" t="n"/>
      <c r="F50" s="8" t="n"/>
      <c r="G50" s="8" t="n"/>
      <c r="H50" s="8" t="n"/>
      <c r="I50" s="8" t="n"/>
    </row>
    <row r="51">
      <c r="A51" s="8" t="n"/>
      <c r="B51" s="8" t="n"/>
      <c r="C51" s="8" t="n"/>
      <c r="D51" s="8" t="n"/>
      <c r="E51" s="8" t="n"/>
      <c r="F51" s="8" t="n"/>
      <c r="G51" s="8" t="n"/>
      <c r="H51" s="8" t="n"/>
      <c r="I51" s="8" t="n"/>
    </row>
    <row r="52">
      <c r="A52" s="8" t="n"/>
      <c r="B52" s="8" t="n"/>
      <c r="C52" s="8" t="n"/>
      <c r="D52" s="8" t="n"/>
      <c r="E52" s="8" t="n"/>
      <c r="F52" s="8" t="n"/>
      <c r="G52" s="8" t="n"/>
      <c r="H52" s="8" t="n"/>
      <c r="I52" s="8" t="n"/>
    </row>
    <row r="53">
      <c r="A53" s="8" t="n"/>
      <c r="B53" s="8" t="n"/>
      <c r="C53" s="8" t="n"/>
      <c r="D53" s="8" t="n"/>
      <c r="E53" s="8" t="n"/>
      <c r="F53" s="8" t="n"/>
      <c r="G53" s="8" t="n"/>
      <c r="H53" s="8" t="n"/>
      <c r="I53" s="8" t="n"/>
    </row>
    <row r="54">
      <c r="A54" s="8" t="n"/>
      <c r="B54" s="8" t="n"/>
      <c r="C54" s="8" t="n"/>
      <c r="D54" s="8" t="n"/>
      <c r="E54" s="8" t="n"/>
      <c r="F54" s="8" t="n"/>
      <c r="G54" s="8" t="n"/>
      <c r="H54" s="8" t="n"/>
      <c r="I54" s="8" t="n"/>
    </row>
    <row r="55">
      <c r="A55" s="8" t="n"/>
      <c r="B55" s="8" t="n"/>
      <c r="C55" s="8" t="n"/>
      <c r="D55" s="8" t="n"/>
      <c r="E55" s="8" t="n"/>
      <c r="F55" s="8" t="n"/>
      <c r="G55" s="8" t="n"/>
      <c r="H55" s="8" t="n"/>
      <c r="I55" s="8" t="n"/>
    </row>
    <row r="56">
      <c r="A56" s="8" t="n"/>
      <c r="B56" s="8" t="n"/>
      <c r="C56" s="8" t="n"/>
      <c r="D56" s="8" t="n"/>
      <c r="E56" s="8" t="n"/>
      <c r="F56" s="8" t="n"/>
      <c r="G56" s="8" t="n"/>
      <c r="H56" s="8" t="n"/>
      <c r="I56" s="8" t="n"/>
    </row>
    <row r="57">
      <c r="A57" s="8" t="n"/>
      <c r="B57" s="8" t="n"/>
      <c r="C57" s="8" t="n"/>
      <c r="D57" s="8" t="n"/>
      <c r="E57" s="8" t="n"/>
      <c r="F57" s="8" t="n"/>
      <c r="G57" s="8" t="n"/>
      <c r="H57" s="8" t="n"/>
      <c r="I57" s="8" t="n"/>
    </row>
    <row r="58">
      <c r="A58" s="8" t="n"/>
      <c r="B58" s="8" t="n"/>
      <c r="C58" s="8" t="n"/>
      <c r="D58" s="8" t="n"/>
      <c r="E58" s="8" t="n"/>
      <c r="F58" s="8" t="n"/>
      <c r="G58" s="8" t="n"/>
      <c r="H58" s="8" t="n"/>
      <c r="I58" s="8" t="n"/>
    </row>
    <row r="59">
      <c r="A59" s="8" t="n"/>
      <c r="B59" s="8" t="n"/>
      <c r="C59" s="8" t="n"/>
      <c r="D59" s="8" t="n"/>
      <c r="E59" s="8" t="n"/>
      <c r="F59" s="8" t="n"/>
      <c r="G59" s="8" t="n"/>
      <c r="H59" s="8" t="n"/>
      <c r="I59" s="8" t="n"/>
    </row>
    <row r="60">
      <c r="A60" s="8" t="n"/>
      <c r="B60" s="8" t="n"/>
      <c r="C60" s="8" t="n"/>
      <c r="D60" s="8" t="n"/>
      <c r="E60" s="8" t="n"/>
      <c r="F60" s="8" t="n"/>
      <c r="G60" s="8" t="n"/>
      <c r="H60" s="8" t="n"/>
      <c r="I60" s="8" t="n"/>
    </row>
    <row r="61">
      <c r="A61" s="8" t="n"/>
      <c r="B61" s="8" t="n"/>
      <c r="C61" s="8" t="n"/>
      <c r="D61" s="8" t="n"/>
      <c r="E61" s="8" t="n"/>
      <c r="F61" s="8" t="n"/>
      <c r="G61" s="8" t="n"/>
      <c r="H61" s="8" t="n"/>
      <c r="I61" s="8" t="n"/>
    </row>
    <row r="62">
      <c r="A62" s="8" t="n"/>
      <c r="B62" s="8" t="n"/>
      <c r="C62" s="8" t="n"/>
      <c r="D62" s="8" t="n"/>
      <c r="E62" s="8" t="n"/>
      <c r="F62" s="8" t="n"/>
      <c r="G62" s="8" t="n"/>
      <c r="H62" s="8" t="n"/>
      <c r="I62" s="8" t="n"/>
    </row>
    <row r="63">
      <c r="A63" s="8" t="n"/>
      <c r="B63" s="8" t="n"/>
      <c r="C63" s="8" t="n"/>
      <c r="D63" s="8" t="n"/>
      <c r="E63" s="8" t="n"/>
      <c r="F63" s="8" t="n"/>
      <c r="G63" s="8" t="n"/>
      <c r="H63" s="8" t="n"/>
      <c r="I63" s="8" t="n"/>
    </row>
    <row r="64">
      <c r="A64" s="8" t="n"/>
      <c r="B64" s="8" t="n"/>
      <c r="C64" s="8" t="n"/>
      <c r="D64" s="8" t="n"/>
      <c r="E64" s="8" t="n"/>
      <c r="F64" s="8" t="n"/>
      <c r="G64" s="8" t="n"/>
      <c r="H64" s="8" t="n"/>
      <c r="I64" s="8" t="n"/>
    </row>
    <row r="65">
      <c r="A65" s="8" t="n"/>
      <c r="B65" s="8" t="n"/>
      <c r="C65" s="8" t="n"/>
      <c r="D65" s="8" t="n"/>
      <c r="E65" s="8" t="n"/>
      <c r="F65" s="8" t="n"/>
      <c r="G65" s="8" t="n"/>
      <c r="H65" s="8" t="n"/>
      <c r="I65" s="8" t="n"/>
    </row>
    <row r="66">
      <c r="A66" s="8" t="n"/>
      <c r="B66" s="8" t="n"/>
      <c r="C66" s="8" t="n"/>
      <c r="D66" s="8" t="n"/>
      <c r="E66" s="8" t="n"/>
      <c r="F66" s="8" t="n"/>
      <c r="G66" s="8" t="n"/>
      <c r="H66" s="8" t="n"/>
      <c r="I66" s="8" t="n"/>
    </row>
    <row r="67">
      <c r="A67" s="8" t="n"/>
      <c r="B67" s="8" t="n"/>
      <c r="C67" s="8" t="n"/>
      <c r="D67" s="8" t="n"/>
      <c r="E67" s="8" t="n"/>
      <c r="F67" s="8" t="n"/>
      <c r="G67" s="8" t="n"/>
      <c r="H67" s="8" t="n"/>
      <c r="I67" s="8" t="n"/>
    </row>
    <row r="68">
      <c r="A68" s="8" t="n"/>
      <c r="B68" s="8" t="n"/>
      <c r="C68" s="8" t="n"/>
      <c r="D68" s="8" t="n"/>
      <c r="E68" s="8" t="n"/>
      <c r="F68" s="8" t="n"/>
      <c r="G68" s="8" t="n"/>
      <c r="H68" s="8" t="n"/>
      <c r="I68" s="8" t="n"/>
    </row>
    <row r="69">
      <c r="A69" s="8" t="n"/>
      <c r="B69" s="8" t="n"/>
      <c r="C69" s="8" t="n"/>
      <c r="D69" s="8" t="n"/>
      <c r="E69" s="8" t="n"/>
      <c r="F69" s="8" t="n"/>
      <c r="G69" s="8" t="n"/>
      <c r="H69" s="8" t="n"/>
      <c r="I69" s="8" t="n"/>
    </row>
    <row r="70">
      <c r="A70" s="8" t="n"/>
      <c r="B70" s="8" t="n"/>
      <c r="C70" s="8" t="n"/>
      <c r="D70" s="8" t="n"/>
      <c r="E70" s="8" t="n"/>
      <c r="F70" s="8" t="n"/>
      <c r="G70" s="8" t="n"/>
      <c r="H70" s="8" t="n"/>
      <c r="I70" s="8" t="n"/>
    </row>
    <row r="71">
      <c r="A71" s="8" t="n"/>
      <c r="B71" s="8" t="n"/>
      <c r="C71" s="8" t="n"/>
      <c r="D71" s="8" t="n"/>
      <c r="E71" s="8" t="n"/>
      <c r="F71" s="8" t="n"/>
      <c r="G71" s="8" t="n"/>
      <c r="H71" s="8" t="n"/>
      <c r="I71" s="8" t="n"/>
    </row>
    <row r="72">
      <c r="A72" s="8" t="n"/>
      <c r="B72" s="8" t="n"/>
      <c r="C72" s="8" t="n"/>
      <c r="D72" s="8" t="n"/>
      <c r="E72" s="8" t="n"/>
      <c r="F72" s="8" t="n"/>
      <c r="G72" s="8" t="n"/>
      <c r="H72" s="8" t="n"/>
      <c r="I72" s="8" t="n"/>
    </row>
    <row r="73">
      <c r="A73" s="8" t="n"/>
      <c r="B73" s="8" t="n"/>
      <c r="C73" s="8" t="n"/>
      <c r="D73" s="8" t="n"/>
      <c r="E73" s="8" t="n"/>
      <c r="F73" s="8" t="n"/>
      <c r="G73" s="8" t="n"/>
      <c r="H73" s="8" t="n"/>
      <c r="I73" s="8" t="n"/>
    </row>
    <row r="74">
      <c r="A74" s="8" t="n"/>
      <c r="B74" s="8" t="n"/>
      <c r="C74" s="8" t="n"/>
      <c r="D74" s="8" t="n"/>
      <c r="E74" s="8" t="n"/>
      <c r="F74" s="8" t="n"/>
      <c r="G74" s="8" t="n"/>
      <c r="H74" s="8" t="n"/>
      <c r="I74" s="8" t="n"/>
    </row>
    <row r="75">
      <c r="A75" s="8" t="n"/>
      <c r="B75" s="8" t="n"/>
      <c r="C75" s="8" t="n"/>
      <c r="D75" s="8" t="n"/>
      <c r="E75" s="8" t="n"/>
      <c r="F75" s="8" t="n"/>
      <c r="G75" s="8" t="n"/>
      <c r="H75" s="8" t="n"/>
      <c r="I75" s="8" t="n"/>
    </row>
    <row r="76">
      <c r="A76" s="8" t="n"/>
      <c r="B76" s="8" t="n"/>
      <c r="C76" s="8" t="n"/>
      <c r="D76" s="8" t="n"/>
      <c r="E76" s="8" t="n"/>
      <c r="F76" s="8" t="n"/>
      <c r="G76" s="8" t="n"/>
      <c r="H76" s="8" t="n"/>
      <c r="I76" s="8" t="n"/>
    </row>
    <row r="77">
      <c r="A77" s="8" t="n"/>
      <c r="B77" s="8" t="n"/>
      <c r="C77" s="8" t="n"/>
      <c r="D77" s="8" t="n"/>
      <c r="E77" s="8" t="n"/>
      <c r="F77" s="8" t="n"/>
      <c r="G77" s="8" t="n"/>
      <c r="H77" s="8" t="n"/>
      <c r="I77" s="8" t="n"/>
    </row>
    <row r="78">
      <c r="A78" s="8" t="n"/>
      <c r="B78" s="8" t="n"/>
      <c r="C78" s="8" t="n"/>
      <c r="D78" s="8" t="n"/>
      <c r="E78" s="8" t="n"/>
      <c r="F78" s="8" t="n"/>
      <c r="G78" s="8" t="n"/>
      <c r="H78" s="8" t="n"/>
      <c r="I78" s="8" t="n"/>
    </row>
    <row r="79">
      <c r="A79" s="8" t="n"/>
      <c r="B79" s="8" t="n"/>
      <c r="C79" s="8" t="n"/>
      <c r="D79" s="8" t="n"/>
      <c r="E79" s="8" t="n"/>
      <c r="F79" s="8" t="n"/>
      <c r="G79" s="8" t="n"/>
      <c r="H79" s="8" t="n"/>
      <c r="I79" s="8" t="n"/>
    </row>
    <row r="80">
      <c r="A80" s="8" t="n"/>
      <c r="B80" s="8" t="n"/>
      <c r="C80" s="8" t="n"/>
      <c r="D80" s="8" t="n"/>
      <c r="E80" s="8" t="n"/>
      <c r="F80" s="8" t="n"/>
      <c r="G80" s="8" t="n"/>
      <c r="H80" s="8" t="n"/>
      <c r="I80" s="8" t="n"/>
    </row>
    <row r="81">
      <c r="A81" s="8" t="n"/>
      <c r="B81" s="8" t="n"/>
      <c r="C81" s="8" t="n"/>
      <c r="D81" s="8" t="n"/>
      <c r="E81" s="8" t="n"/>
      <c r="F81" s="8" t="n"/>
      <c r="G81" s="8" t="n"/>
      <c r="H81" s="8" t="n"/>
      <c r="I81" s="8" t="n"/>
    </row>
    <row r="82">
      <c r="A82" s="8" t="n"/>
      <c r="B82" s="8" t="n"/>
      <c r="C82" s="8" t="n"/>
      <c r="D82" s="8" t="n"/>
      <c r="E82" s="8" t="n"/>
      <c r="F82" s="8" t="n"/>
      <c r="G82" s="8" t="n"/>
      <c r="H82" s="8" t="n"/>
      <c r="I82" s="8" t="n"/>
    </row>
    <row r="83">
      <c r="A83" s="8" t="n"/>
      <c r="B83" s="8" t="n"/>
      <c r="C83" s="8" t="n"/>
      <c r="D83" s="8" t="n"/>
      <c r="E83" s="8" t="n"/>
      <c r="F83" s="8" t="n"/>
      <c r="G83" s="8" t="n"/>
      <c r="H83" s="8" t="n"/>
      <c r="I83" s="8" t="n"/>
    </row>
    <row r="84">
      <c r="A84" s="8" t="n"/>
      <c r="B84" s="8" t="n"/>
      <c r="C84" s="8" t="n"/>
      <c r="D84" s="8" t="n"/>
      <c r="E84" s="8" t="n"/>
      <c r="F84" s="8" t="n"/>
      <c r="G84" s="8" t="n"/>
      <c r="H84" s="8" t="n"/>
      <c r="I84" s="8" t="n"/>
    </row>
    <row r="85">
      <c r="A85" s="8" t="n"/>
      <c r="B85" s="8" t="n"/>
      <c r="C85" s="8" t="n"/>
      <c r="D85" s="8" t="n"/>
      <c r="E85" s="8" t="n"/>
      <c r="F85" s="8" t="n"/>
      <c r="G85" s="8" t="n"/>
      <c r="H85" s="8" t="n"/>
      <c r="I85" s="8" t="n"/>
    </row>
    <row r="86">
      <c r="A86" s="8" t="n"/>
      <c r="B86" s="8" t="n"/>
      <c r="C86" s="8" t="n"/>
      <c r="D86" s="8" t="n"/>
      <c r="E86" s="8" t="n"/>
      <c r="F86" s="8" t="n"/>
      <c r="G86" s="8" t="n"/>
      <c r="H86" s="8" t="n"/>
      <c r="I86" s="8" t="n"/>
    </row>
    <row r="87">
      <c r="A87" s="8" t="n"/>
      <c r="B87" s="8" t="n"/>
      <c r="C87" s="8" t="n"/>
      <c r="D87" s="8" t="n"/>
      <c r="E87" s="8" t="n"/>
      <c r="F87" s="8" t="n"/>
      <c r="G87" s="8" t="n"/>
      <c r="H87" s="8" t="n"/>
      <c r="I87" s="8" t="n"/>
    </row>
    <row r="88">
      <c r="A88" s="8" t="n"/>
      <c r="B88" s="8" t="n"/>
      <c r="C88" s="8" t="n"/>
      <c r="D88" s="8" t="n"/>
      <c r="E88" s="8" t="n"/>
      <c r="F88" s="8" t="n"/>
      <c r="G88" s="8" t="n"/>
      <c r="H88" s="8" t="n"/>
      <c r="I88" s="8" t="n"/>
    </row>
    <row r="89">
      <c r="A89" s="8" t="n"/>
      <c r="B89" s="8" t="n"/>
      <c r="C89" s="8" t="n"/>
      <c r="D89" s="8" t="n"/>
      <c r="E89" s="8" t="n"/>
      <c r="F89" s="8" t="n"/>
      <c r="G89" s="8" t="n"/>
      <c r="H89" s="8" t="n"/>
      <c r="I89" s="8" t="n"/>
    </row>
    <row r="90">
      <c r="A90" s="8" t="n"/>
      <c r="B90" s="8" t="n"/>
      <c r="C90" s="8" t="n"/>
      <c r="D90" s="8" t="n"/>
      <c r="E90" s="8" t="n"/>
      <c r="F90" s="8" t="n"/>
      <c r="G90" s="8" t="n"/>
      <c r="H90" s="8" t="n"/>
      <c r="I90" s="8" t="n"/>
    </row>
    <row r="91">
      <c r="A91" s="8" t="n"/>
      <c r="B91" s="8" t="n"/>
      <c r="C91" s="8" t="n"/>
      <c r="D91" s="8" t="n"/>
      <c r="E91" s="8" t="n"/>
      <c r="F91" s="8" t="n"/>
      <c r="G91" s="8" t="n"/>
      <c r="H91" s="8" t="n"/>
      <c r="I91" s="8" t="n"/>
    </row>
    <row r="92">
      <c r="A92" s="8" t="n"/>
      <c r="B92" s="8" t="n"/>
      <c r="C92" s="8" t="n"/>
      <c r="D92" s="8" t="n"/>
      <c r="E92" s="8" t="n"/>
      <c r="F92" s="8" t="n"/>
      <c r="G92" s="8" t="n"/>
      <c r="H92" s="8" t="n"/>
      <c r="I92" s="8" t="n"/>
    </row>
    <row r="93">
      <c r="A93" s="8" t="n"/>
      <c r="B93" s="8" t="n"/>
      <c r="C93" s="8" t="n"/>
      <c r="D93" s="8" t="n"/>
      <c r="E93" s="8" t="n"/>
      <c r="F93" s="8" t="n"/>
      <c r="G93" s="8" t="n"/>
      <c r="H93" s="8" t="n"/>
      <c r="I93" s="8" t="n"/>
    </row>
    <row r="94">
      <c r="A94" s="8" t="n"/>
      <c r="B94" s="8" t="n"/>
      <c r="C94" s="8" t="n"/>
      <c r="D94" s="8" t="n"/>
      <c r="E94" s="8" t="n"/>
      <c r="F94" s="8" t="n"/>
      <c r="G94" s="8" t="n"/>
      <c r="H94" s="8" t="n"/>
      <c r="I94" s="8" t="n"/>
    </row>
    <row r="95">
      <c r="A95" s="8" t="n"/>
      <c r="B95" s="8" t="n"/>
      <c r="C95" s="8" t="n"/>
      <c r="D95" s="8" t="n"/>
      <c r="E95" s="8" t="n"/>
      <c r="F95" s="8" t="n"/>
      <c r="G95" s="8" t="n"/>
      <c r="H95" s="8" t="n"/>
      <c r="I95" s="8" t="n"/>
    </row>
    <row r="96">
      <c r="A96" s="8" t="n"/>
      <c r="B96" s="8" t="n"/>
      <c r="C96" s="8" t="n"/>
      <c r="D96" s="8" t="n"/>
      <c r="E96" s="8" t="n"/>
      <c r="F96" s="8" t="n"/>
      <c r="G96" s="8" t="n"/>
      <c r="H96" s="8" t="n"/>
      <c r="I96" s="8" t="n"/>
    </row>
    <row r="97">
      <c r="A97" s="8" t="n"/>
      <c r="B97" s="8" t="n"/>
      <c r="C97" s="8" t="n"/>
      <c r="D97" s="8" t="n"/>
      <c r="E97" s="8" t="n"/>
      <c r="F97" s="8" t="n"/>
      <c r="G97" s="8" t="n"/>
      <c r="H97" s="8" t="n"/>
      <c r="I97" s="8" t="n"/>
    </row>
    <row r="98">
      <c r="A98" s="8" t="n"/>
      <c r="B98" s="8" t="n"/>
      <c r="C98" s="8" t="n"/>
      <c r="D98" s="8" t="n"/>
      <c r="E98" s="8" t="n"/>
      <c r="F98" s="8" t="n"/>
      <c r="G98" s="8" t="n"/>
      <c r="H98" s="8" t="n"/>
      <c r="I98" s="8" t="n"/>
    </row>
    <row r="99">
      <c r="A99" s="8" t="n"/>
      <c r="B99" s="8" t="n"/>
      <c r="C99" s="8" t="n"/>
      <c r="D99" s="8" t="n"/>
      <c r="E99" s="8" t="n"/>
      <c r="F99" s="8" t="n"/>
      <c r="G99" s="8" t="n"/>
      <c r="H99" s="8" t="n"/>
      <c r="I99" s="8" t="n"/>
    </row>
    <row r="100">
      <c r="A100" s="8" t="n"/>
      <c r="B100" s="8" t="n"/>
      <c r="C100" s="8" t="n"/>
      <c r="D100" s="8" t="n"/>
      <c r="E100" s="8" t="n"/>
      <c r="F100" s="8" t="n"/>
      <c r="G100" s="8" t="n"/>
      <c r="H100" s="8" t="n"/>
      <c r="I100" s="8" t="n"/>
    </row>
    <row r="101">
      <c r="A101" s="8" t="n"/>
      <c r="B101" s="8" t="n"/>
      <c r="C101" s="8" t="n"/>
      <c r="D101" s="8" t="n"/>
      <c r="E101" s="8" t="n"/>
      <c r="F101" s="8" t="n"/>
      <c r="G101" s="8" t="n"/>
      <c r="H101" s="8" t="n"/>
      <c r="I101" s="8" t="n"/>
    </row>
    <row r="102">
      <c r="A102" s="8" t="n"/>
      <c r="B102" s="8" t="n"/>
      <c r="C102" s="8" t="n"/>
      <c r="D102" s="8" t="n"/>
      <c r="E102" s="8" t="n"/>
      <c r="F102" s="8" t="n"/>
      <c r="G102" s="8" t="n"/>
      <c r="H102" s="8" t="n"/>
      <c r="I102" s="8" t="n"/>
    </row>
    <row r="103">
      <c r="A103" s="8" t="n"/>
      <c r="B103" s="8" t="n"/>
      <c r="C103" s="8" t="n"/>
      <c r="D103" s="8" t="n"/>
      <c r="E103" s="8" t="n"/>
      <c r="F103" s="8" t="n"/>
      <c r="G103" s="8" t="n"/>
      <c r="H103" s="8" t="n"/>
      <c r="I103" s="8" t="n"/>
    </row>
    <row r="104">
      <c r="A104" s="8" t="n"/>
      <c r="B104" s="8" t="n"/>
      <c r="C104" s="8" t="n"/>
      <c r="D104" s="8" t="n"/>
      <c r="E104" s="8" t="n"/>
      <c r="F104" s="8" t="n"/>
      <c r="G104" s="8" t="n"/>
      <c r="H104" s="8" t="n"/>
      <c r="I104" s="8" t="n"/>
    </row>
    <row r="105">
      <c r="A105" s="8" t="n"/>
      <c r="B105" s="8" t="n"/>
      <c r="C105" s="8" t="n"/>
      <c r="D105" s="8" t="n"/>
      <c r="E105" s="8" t="n"/>
      <c r="F105" s="8" t="n"/>
      <c r="G105" s="8" t="n"/>
      <c r="H105" s="8" t="n"/>
      <c r="I105" s="8" t="n"/>
    </row>
    <row r="106">
      <c r="A106" s="8" t="n"/>
      <c r="B106" s="8" t="n"/>
      <c r="C106" s="8" t="n"/>
      <c r="D106" s="8" t="n"/>
      <c r="E106" s="8" t="n"/>
      <c r="F106" s="8" t="n"/>
      <c r="G106" s="8" t="n"/>
      <c r="H106" s="8" t="n"/>
      <c r="I106" s="8" t="n"/>
    </row>
    <row r="107">
      <c r="A107" s="8" t="n"/>
      <c r="B107" s="8" t="n"/>
      <c r="C107" s="8" t="n"/>
      <c r="D107" s="8" t="n"/>
      <c r="E107" s="8" t="n"/>
      <c r="F107" s="8" t="n"/>
      <c r="G107" s="8" t="n"/>
      <c r="H107" s="8" t="n"/>
      <c r="I107" s="8" t="n"/>
    </row>
    <row r="108">
      <c r="A108" s="8" t="n"/>
      <c r="B108" s="8" t="n"/>
      <c r="C108" s="8" t="n"/>
      <c r="D108" s="8" t="n"/>
      <c r="E108" s="8" t="n"/>
      <c r="F108" s="8" t="n"/>
      <c r="G108" s="8" t="n"/>
      <c r="H108" s="8" t="n"/>
      <c r="I108" s="8" t="n"/>
    </row>
    <row r="109">
      <c r="A109" s="8" t="n"/>
      <c r="B109" s="8" t="n"/>
      <c r="C109" s="8" t="n"/>
      <c r="D109" s="8" t="n"/>
      <c r="E109" s="8" t="n"/>
      <c r="F109" s="8" t="n"/>
      <c r="G109" s="8" t="n"/>
      <c r="H109" s="8" t="n"/>
      <c r="I109" s="8" t="n"/>
    </row>
    <row r="110">
      <c r="A110" s="8" t="n"/>
      <c r="B110" s="8" t="n"/>
      <c r="C110" s="8" t="n"/>
      <c r="D110" s="8" t="n"/>
      <c r="E110" s="8" t="n"/>
      <c r="F110" s="8" t="n"/>
      <c r="G110" s="8" t="n"/>
      <c r="H110" s="8" t="n"/>
      <c r="I110" s="8" t="n"/>
    </row>
    <row r="111">
      <c r="A111" s="8" t="n"/>
      <c r="B111" s="8" t="n"/>
      <c r="C111" s="8" t="n"/>
      <c r="D111" s="8" t="n"/>
      <c r="E111" s="8" t="n"/>
      <c r="F111" s="8" t="n"/>
      <c r="G111" s="8" t="n"/>
      <c r="H111" s="8" t="n"/>
      <c r="I111" s="8" t="n"/>
    </row>
    <row r="112">
      <c r="A112" s="8" t="n"/>
      <c r="B112" s="8" t="n"/>
      <c r="C112" s="8" t="n"/>
      <c r="D112" s="8" t="n"/>
      <c r="E112" s="8" t="n"/>
      <c r="F112" s="8" t="n"/>
      <c r="G112" s="8" t="n"/>
      <c r="H112" s="8" t="n"/>
      <c r="I112" s="8" t="n"/>
    </row>
    <row r="113">
      <c r="A113" s="8" t="n"/>
      <c r="B113" s="8" t="n"/>
      <c r="C113" s="8" t="n"/>
      <c r="D113" s="8" t="n"/>
      <c r="E113" s="8" t="n"/>
      <c r="F113" s="8" t="n"/>
      <c r="G113" s="8" t="n"/>
      <c r="H113" s="8" t="n"/>
      <c r="I113" s="8" t="n"/>
    </row>
    <row r="114">
      <c r="A114" s="8" t="n"/>
      <c r="B114" s="8" t="n"/>
      <c r="C114" s="8" t="n"/>
      <c r="D114" s="8" t="n"/>
      <c r="E114" s="8" t="n"/>
      <c r="F114" s="8" t="n"/>
      <c r="G114" s="8" t="n"/>
      <c r="H114" s="8" t="n"/>
      <c r="I114" s="8" t="n"/>
    </row>
    <row r="115">
      <c r="A115" s="8" t="n"/>
      <c r="B115" s="8" t="n"/>
      <c r="C115" s="8" t="n"/>
      <c r="D115" s="8" t="n"/>
      <c r="E115" s="8" t="n"/>
      <c r="F115" s="8" t="n"/>
      <c r="G115" s="8" t="n"/>
      <c r="H115" s="8" t="n"/>
      <c r="I115" s="8" t="n"/>
    </row>
    <row r="116">
      <c r="A116" s="8" t="n"/>
      <c r="B116" s="8" t="n"/>
      <c r="C116" s="8" t="n"/>
      <c r="D116" s="8" t="n"/>
      <c r="E116" s="8" t="n"/>
      <c r="F116" s="8" t="n"/>
      <c r="G116" s="8" t="n"/>
      <c r="H116" s="8" t="n"/>
      <c r="I116" s="8" t="n"/>
    </row>
    <row r="117">
      <c r="A117" s="8" t="n"/>
      <c r="B117" s="8" t="n"/>
      <c r="C117" s="8" t="n"/>
      <c r="D117" s="8" t="n"/>
      <c r="E117" s="8" t="n"/>
      <c r="F117" s="8" t="n"/>
      <c r="G117" s="8" t="n"/>
      <c r="H117" s="8" t="n"/>
      <c r="I117" s="8" t="n"/>
    </row>
    <row r="118">
      <c r="A118" s="8" t="n"/>
      <c r="B118" s="8" t="n"/>
      <c r="C118" s="8" t="n"/>
      <c r="D118" s="8" t="n"/>
      <c r="E118" s="8" t="n"/>
      <c r="F118" s="8" t="n"/>
      <c r="G118" s="8" t="n"/>
      <c r="H118" s="8" t="n"/>
      <c r="I118" s="8" t="n"/>
    </row>
    <row r="119">
      <c r="A119" s="8" t="n"/>
      <c r="B119" s="8" t="n"/>
      <c r="C119" s="8" t="n"/>
      <c r="D119" s="8" t="n"/>
      <c r="E119" s="8" t="n"/>
      <c r="F119" s="8" t="n"/>
      <c r="G119" s="8" t="n"/>
      <c r="H119" s="8" t="n"/>
      <c r="I119" s="8" t="n"/>
    </row>
    <row r="120">
      <c r="A120" s="8" t="n"/>
      <c r="B120" s="8" t="n"/>
      <c r="C120" s="8" t="n"/>
      <c r="D120" s="8" t="n"/>
      <c r="E120" s="8" t="n"/>
      <c r="F120" s="8" t="n"/>
      <c r="G120" s="8" t="n"/>
      <c r="H120" s="8" t="n"/>
      <c r="I120" s="8" t="n"/>
    </row>
    <row r="121">
      <c r="A121" s="8" t="n"/>
      <c r="B121" s="8" t="n"/>
      <c r="C121" s="8" t="n"/>
      <c r="D121" s="8" t="n"/>
      <c r="E121" s="8" t="n"/>
      <c r="F121" s="8" t="n"/>
      <c r="G121" s="8" t="n"/>
      <c r="H121" s="8" t="n"/>
      <c r="I121" s="8" t="n"/>
    </row>
    <row r="122">
      <c r="A122" s="8" t="n"/>
      <c r="B122" s="8" t="n"/>
      <c r="C122" s="8" t="n"/>
      <c r="D122" s="8" t="n"/>
      <c r="E122" s="8" t="n"/>
      <c r="F122" s="8" t="n"/>
      <c r="G122" s="8" t="n"/>
      <c r="H122" s="8" t="n"/>
      <c r="I122" s="8" t="n"/>
    </row>
    <row r="123">
      <c r="A123" s="8" t="n"/>
      <c r="B123" s="8" t="n"/>
      <c r="C123" s="8" t="n"/>
      <c r="D123" s="8" t="n"/>
      <c r="E123" s="8" t="n"/>
      <c r="F123" s="8" t="n"/>
      <c r="G123" s="8" t="n"/>
      <c r="H123" s="8" t="n"/>
      <c r="I123" s="8" t="n"/>
    </row>
    <row r="124">
      <c r="A124" s="8" t="n"/>
      <c r="B124" s="8" t="n"/>
      <c r="C124" s="8" t="n"/>
      <c r="D124" s="8" t="n"/>
      <c r="E124" s="8" t="n"/>
      <c r="F124" s="8" t="n"/>
      <c r="G124" s="8" t="n"/>
      <c r="H124" s="8" t="n"/>
      <c r="I124" s="8" t="n"/>
    </row>
    <row r="125">
      <c r="A125" s="8" t="n"/>
      <c r="B125" s="8" t="n"/>
      <c r="C125" s="8" t="n"/>
      <c r="D125" s="8" t="n"/>
      <c r="E125" s="8" t="n"/>
      <c r="F125" s="8" t="n"/>
      <c r="G125" s="8" t="n"/>
      <c r="H125" s="8" t="n"/>
      <c r="I125" s="8" t="n"/>
    </row>
    <row r="126">
      <c r="A126" s="8" t="n"/>
      <c r="B126" s="8" t="n"/>
      <c r="C126" s="8" t="n"/>
      <c r="D126" s="8" t="n"/>
      <c r="E126" s="8" t="n"/>
      <c r="F126" s="8" t="n"/>
      <c r="G126" s="8" t="n"/>
      <c r="H126" s="8" t="n"/>
      <c r="I126" s="8" t="n"/>
    </row>
    <row r="127">
      <c r="A127" s="8" t="n"/>
      <c r="B127" s="8" t="n"/>
      <c r="C127" s="8" t="n"/>
      <c r="D127" s="8" t="n"/>
      <c r="E127" s="8" t="n"/>
      <c r="F127" s="8" t="n"/>
      <c r="G127" s="8" t="n"/>
      <c r="H127" s="8" t="n"/>
      <c r="I127" s="8" t="n"/>
    </row>
    <row r="128">
      <c r="A128" s="8" t="n"/>
      <c r="B128" s="8" t="n"/>
      <c r="C128" s="8" t="n"/>
      <c r="D128" s="8" t="n"/>
      <c r="E128" s="8" t="n"/>
      <c r="F128" s="8" t="n"/>
      <c r="G128" s="8" t="n"/>
      <c r="H128" s="8" t="n"/>
      <c r="I128" s="8" t="n"/>
    </row>
    <row r="129">
      <c r="A129" s="8" t="n"/>
      <c r="B129" s="8" t="n"/>
      <c r="C129" s="8" t="n"/>
      <c r="D129" s="8" t="n"/>
      <c r="E129" s="8" t="n"/>
      <c r="F129" s="8" t="n"/>
      <c r="G129" s="8" t="n"/>
      <c r="H129" s="8" t="n"/>
      <c r="I129" s="8" t="n"/>
    </row>
    <row r="130">
      <c r="A130" s="8" t="n"/>
      <c r="B130" s="8" t="n"/>
      <c r="C130" s="8" t="n"/>
      <c r="D130" s="8" t="n"/>
      <c r="E130" s="8" t="n"/>
      <c r="F130" s="8" t="n"/>
      <c r="G130" s="8" t="n"/>
      <c r="H130" s="8" t="n"/>
      <c r="I130" s="8" t="n"/>
    </row>
    <row r="131">
      <c r="A131" s="8" t="n"/>
      <c r="B131" s="8" t="n"/>
      <c r="C131" s="8" t="n"/>
      <c r="D131" s="8" t="n"/>
      <c r="E131" s="8" t="n"/>
      <c r="F131" s="8" t="n"/>
      <c r="G131" s="8" t="n"/>
      <c r="H131" s="8" t="n"/>
      <c r="I131" s="8" t="n"/>
    </row>
    <row r="132">
      <c r="A132" s="8" t="n"/>
      <c r="B132" s="8" t="n"/>
      <c r="C132" s="8" t="n"/>
      <c r="D132" s="8" t="n"/>
      <c r="E132" s="8" t="n"/>
      <c r="F132" s="8" t="n"/>
      <c r="G132" s="8" t="n"/>
      <c r="H132" s="8" t="n"/>
      <c r="I132" s="8" t="n"/>
    </row>
    <row r="133">
      <c r="A133" s="8" t="n"/>
      <c r="B133" s="8" t="n"/>
      <c r="C133" s="8" t="n"/>
      <c r="D133" s="8" t="n"/>
      <c r="E133" s="8" t="n"/>
      <c r="F133" s="8" t="n"/>
      <c r="G133" s="8" t="n"/>
      <c r="H133" s="8" t="n"/>
      <c r="I133" s="8" t="n"/>
    </row>
    <row r="134">
      <c r="A134" s="8" t="n"/>
      <c r="B134" s="8" t="n"/>
      <c r="C134" s="8" t="n"/>
      <c r="D134" s="8" t="n"/>
      <c r="E134" s="8" t="n"/>
      <c r="F134" s="8" t="n"/>
      <c r="G134" s="8" t="n"/>
      <c r="H134" s="8" t="n"/>
      <c r="I134" s="8" t="n"/>
    </row>
    <row r="135">
      <c r="A135" s="8" t="n"/>
      <c r="B135" s="8" t="n"/>
      <c r="C135" s="8" t="n"/>
      <c r="D135" s="8" t="n"/>
      <c r="E135" s="8" t="n"/>
      <c r="F135" s="8" t="n"/>
      <c r="G135" s="8" t="n"/>
      <c r="H135" s="8" t="n"/>
      <c r="I135" s="8" t="n"/>
    </row>
    <row r="136">
      <c r="A136" s="8" t="n"/>
      <c r="B136" s="8" t="n"/>
      <c r="C136" s="8" t="n"/>
      <c r="D136" s="8" t="n"/>
      <c r="E136" s="8" t="n"/>
      <c r="F136" s="8" t="n"/>
      <c r="G136" s="8" t="n"/>
      <c r="H136" s="8" t="n"/>
      <c r="I136" s="8" t="n"/>
    </row>
    <row r="137">
      <c r="A137" s="8" t="n"/>
      <c r="B137" s="8" t="n"/>
      <c r="C137" s="8" t="n"/>
      <c r="D137" s="8" t="n"/>
      <c r="E137" s="8" t="n"/>
      <c r="F137" s="8" t="n"/>
      <c r="G137" s="8" t="n"/>
      <c r="H137" s="8" t="n"/>
      <c r="I137" s="8" t="n"/>
    </row>
    <row r="138">
      <c r="A138" s="8" t="n"/>
      <c r="B138" s="8" t="n"/>
      <c r="C138" s="8" t="n"/>
      <c r="D138" s="8" t="n"/>
      <c r="E138" s="8" t="n"/>
      <c r="F138" s="8" t="n"/>
      <c r="G138" s="8" t="n"/>
      <c r="H138" s="8" t="n"/>
      <c r="I138" s="8" t="n"/>
    </row>
    <row r="139">
      <c r="A139" s="8" t="n"/>
      <c r="B139" s="8" t="n"/>
      <c r="C139" s="8" t="n"/>
      <c r="D139" s="8" t="n"/>
      <c r="E139" s="8" t="n"/>
      <c r="F139" s="8" t="n"/>
      <c r="G139" s="8" t="n"/>
      <c r="H139" s="8" t="n"/>
      <c r="I139" s="8" t="n"/>
    </row>
    <row r="140">
      <c r="A140" s="8" t="n"/>
      <c r="B140" s="8" t="n"/>
      <c r="C140" s="8" t="n"/>
      <c r="D140" s="8" t="n"/>
      <c r="E140" s="8" t="n"/>
      <c r="F140" s="8" t="n"/>
      <c r="G140" s="8" t="n"/>
      <c r="H140" s="8" t="n"/>
      <c r="I140" s="8" t="n"/>
    </row>
    <row r="141">
      <c r="A141" s="8" t="n"/>
      <c r="B141" s="8" t="n"/>
      <c r="C141" s="8" t="n"/>
      <c r="D141" s="8" t="n"/>
      <c r="E141" s="8" t="n"/>
      <c r="F141" s="8" t="n"/>
      <c r="G141" s="8" t="n"/>
      <c r="H141" s="8" t="n"/>
      <c r="I141" s="8" t="n"/>
    </row>
    <row r="142">
      <c r="A142" s="8" t="n"/>
      <c r="B142" s="8" t="n"/>
      <c r="C142" s="8" t="n"/>
      <c r="D142" s="8" t="n"/>
      <c r="E142" s="8" t="n"/>
      <c r="F142" s="8" t="n"/>
      <c r="G142" s="8" t="n"/>
      <c r="H142" s="8" t="n"/>
      <c r="I142" s="8" t="n"/>
    </row>
    <row r="143">
      <c r="A143" s="8" t="n"/>
      <c r="B143" s="8" t="n"/>
      <c r="C143" s="8" t="n"/>
      <c r="D143" s="8" t="n"/>
      <c r="E143" s="8" t="n"/>
      <c r="F143" s="8" t="n"/>
      <c r="G143" s="8" t="n"/>
      <c r="H143" s="8" t="n"/>
      <c r="I143" s="8" t="n"/>
    </row>
    <row r="144">
      <c r="A144" s="8" t="n"/>
      <c r="B144" s="8" t="n"/>
      <c r="C144" s="8" t="n"/>
      <c r="D144" s="8" t="n"/>
      <c r="E144" s="8" t="n"/>
      <c r="F144" s="8" t="n"/>
      <c r="G144" s="8" t="n"/>
      <c r="H144" s="8" t="n"/>
      <c r="I144" s="8" t="n"/>
    </row>
    <row r="145">
      <c r="A145" s="8" t="n"/>
      <c r="B145" s="8" t="n"/>
      <c r="C145" s="8" t="n"/>
      <c r="D145" s="8" t="n"/>
      <c r="E145" s="8" t="n"/>
      <c r="F145" s="8" t="n"/>
      <c r="G145" s="8" t="n"/>
      <c r="H145" s="8" t="n"/>
      <c r="I145" s="8" t="n"/>
    </row>
    <row r="146">
      <c r="A146" s="8" t="n"/>
      <c r="B146" s="8" t="n"/>
      <c r="C146" s="8" t="n"/>
      <c r="D146" s="8" t="n"/>
      <c r="E146" s="8" t="n"/>
      <c r="F146" s="8" t="n"/>
      <c r="G146" s="8" t="n"/>
      <c r="H146" s="8" t="n"/>
      <c r="I146" s="8" t="n"/>
    </row>
    <row r="147">
      <c r="A147" s="8" t="n"/>
      <c r="B147" s="8" t="n"/>
      <c r="C147" s="8" t="n"/>
      <c r="D147" s="8" t="n"/>
      <c r="E147" s="8" t="n"/>
      <c r="F147" s="8" t="n"/>
      <c r="G147" s="8" t="n"/>
      <c r="H147" s="8" t="n"/>
      <c r="I147" s="8" t="n"/>
    </row>
    <row r="148">
      <c r="A148" s="8" t="n"/>
      <c r="B148" s="8" t="n"/>
      <c r="C148" s="8" t="n"/>
      <c r="D148" s="8" t="n"/>
      <c r="E148" s="8" t="n"/>
      <c r="F148" s="8" t="n"/>
      <c r="G148" s="8" t="n"/>
      <c r="H148" s="8" t="n"/>
      <c r="I148" s="8" t="n"/>
    </row>
    <row r="149">
      <c r="A149" s="8" t="n"/>
      <c r="B149" s="8" t="n"/>
      <c r="C149" s="8" t="n"/>
      <c r="D149" s="8" t="n"/>
      <c r="E149" s="8" t="n"/>
      <c r="F149" s="8" t="n"/>
      <c r="G149" s="8" t="n"/>
      <c r="H149" s="8" t="n"/>
      <c r="I149" s="8" t="n"/>
    </row>
    <row r="150">
      <c r="A150" s="8" t="n"/>
      <c r="B150" s="8" t="n"/>
      <c r="C150" s="8" t="n"/>
      <c r="D150" s="8" t="n"/>
      <c r="E150" s="8" t="n"/>
      <c r="F150" s="8" t="n"/>
      <c r="G150" s="8" t="n"/>
      <c r="H150" s="8" t="n"/>
      <c r="I150" s="8" t="n"/>
    </row>
    <row r="151">
      <c r="A151" s="8" t="n"/>
      <c r="B151" s="8" t="n"/>
      <c r="C151" s="8" t="n"/>
      <c r="D151" s="8" t="n"/>
      <c r="E151" s="8" t="n"/>
      <c r="F151" s="8" t="n"/>
      <c r="G151" s="8" t="n"/>
      <c r="H151" s="8" t="n"/>
      <c r="I151" s="8" t="n"/>
    </row>
    <row r="152">
      <c r="A152" s="8" t="n"/>
      <c r="B152" s="8" t="n"/>
      <c r="C152" s="8" t="n"/>
      <c r="D152" s="8" t="n"/>
      <c r="E152" s="8" t="n"/>
      <c r="F152" s="8" t="n"/>
      <c r="G152" s="8" t="n"/>
      <c r="H152" s="8" t="n"/>
      <c r="I152" s="8" t="n"/>
    </row>
    <row r="153">
      <c r="A153" s="8" t="n"/>
      <c r="B153" s="8" t="n"/>
      <c r="C153" s="8" t="n"/>
      <c r="D153" s="8" t="n"/>
      <c r="E153" s="8" t="n"/>
      <c r="F153" s="8" t="n"/>
      <c r="G153" s="8" t="n"/>
      <c r="H153" s="8" t="n"/>
      <c r="I153" s="8" t="n"/>
    </row>
    <row r="154">
      <c r="A154" s="8" t="n"/>
      <c r="B154" s="8" t="n"/>
      <c r="C154" s="8" t="n"/>
      <c r="D154" s="8" t="n"/>
      <c r="E154" s="8" t="n"/>
      <c r="F154" s="8" t="n"/>
      <c r="G154" s="8" t="n"/>
      <c r="H154" s="8" t="n"/>
      <c r="I154" s="8" t="n"/>
    </row>
    <row r="155">
      <c r="A155" s="8" t="n"/>
      <c r="B155" s="8" t="n"/>
      <c r="C155" s="8" t="n"/>
      <c r="D155" s="8" t="n"/>
      <c r="E155" s="8" t="n"/>
      <c r="F155" s="8" t="n"/>
      <c r="G155" s="8" t="n"/>
      <c r="H155" s="8" t="n"/>
      <c r="I155" s="8" t="n"/>
    </row>
    <row r="156">
      <c r="A156" s="8" t="n"/>
      <c r="B156" s="8" t="n"/>
      <c r="C156" s="8" t="n"/>
      <c r="D156" s="8" t="n"/>
      <c r="E156" s="8" t="n"/>
      <c r="F156" s="8" t="n"/>
      <c r="G156" s="8" t="n"/>
      <c r="H156" s="8" t="n"/>
      <c r="I156" s="8" t="n"/>
    </row>
    <row r="157">
      <c r="A157" s="8" t="n"/>
      <c r="B157" s="8" t="n"/>
      <c r="C157" s="8" t="n"/>
      <c r="D157" s="8" t="n"/>
      <c r="E157" s="8" t="n"/>
      <c r="F157" s="8" t="n"/>
      <c r="G157" s="8" t="n"/>
      <c r="H157" s="8" t="n"/>
      <c r="I157" s="8" t="n"/>
    </row>
    <row r="158">
      <c r="A158" s="8" t="n"/>
      <c r="B158" s="8" t="n"/>
      <c r="C158" s="8" t="n"/>
      <c r="D158" s="8" t="n"/>
      <c r="E158" s="8" t="n"/>
      <c r="F158" s="8" t="n"/>
      <c r="G158" s="8" t="n"/>
      <c r="H158" s="8" t="n"/>
      <c r="I158" s="8" t="n"/>
    </row>
    <row r="159">
      <c r="A159" s="8" t="n"/>
      <c r="B159" s="8" t="n"/>
      <c r="C159" s="8" t="n"/>
      <c r="D159" s="8" t="n"/>
      <c r="E159" s="8" t="n"/>
      <c r="F159" s="8" t="n"/>
      <c r="G159" s="8" t="n"/>
      <c r="H159" s="8" t="n"/>
      <c r="I159" s="8" t="n"/>
    </row>
    <row r="160">
      <c r="A160" s="8" t="n"/>
      <c r="B160" s="8" t="n"/>
      <c r="C160" s="8" t="n"/>
      <c r="D160" s="8" t="n"/>
      <c r="E160" s="8" t="n"/>
      <c r="F160" s="8" t="n"/>
      <c r="G160" s="8" t="n"/>
      <c r="H160" s="8" t="n"/>
      <c r="I160" s="8" t="n"/>
    </row>
    <row r="161">
      <c r="A161" s="8" t="n"/>
      <c r="B161" s="8" t="n"/>
      <c r="C161" s="8" t="n"/>
      <c r="D161" s="8" t="n"/>
      <c r="E161" s="8" t="n"/>
      <c r="F161" s="8" t="n"/>
      <c r="G161" s="8" t="n"/>
      <c r="H161" s="8" t="n"/>
      <c r="I161" s="8" t="n"/>
    </row>
    <row r="162">
      <c r="A162" s="8" t="n"/>
      <c r="B162" s="8" t="n"/>
      <c r="C162" s="8" t="n"/>
      <c r="D162" s="8" t="n"/>
      <c r="E162" s="8" t="n"/>
      <c r="F162" s="8" t="n"/>
      <c r="G162" s="8" t="n"/>
      <c r="H162" s="8" t="n"/>
      <c r="I162" s="8" t="n"/>
    </row>
    <row r="163">
      <c r="A163" s="8" t="n"/>
      <c r="B163" s="8" t="n"/>
      <c r="C163" s="8" t="n"/>
      <c r="D163" s="8" t="n"/>
      <c r="E163" s="8" t="n"/>
      <c r="F163" s="8" t="n"/>
      <c r="G163" s="8" t="n"/>
      <c r="H163" s="8" t="n"/>
      <c r="I163" s="8" t="n"/>
    </row>
    <row r="164">
      <c r="A164" s="8" t="n"/>
      <c r="B164" s="8" t="n"/>
      <c r="C164" s="8" t="n"/>
      <c r="D164" s="8" t="n"/>
      <c r="E164" s="8" t="n"/>
      <c r="F164" s="8" t="n"/>
      <c r="G164" s="8" t="n"/>
      <c r="H164" s="8" t="n"/>
      <c r="I164" s="8" t="n"/>
    </row>
    <row r="165">
      <c r="A165" s="8" t="n"/>
      <c r="B165" s="8" t="n"/>
      <c r="C165" s="8" t="n"/>
      <c r="D165" s="8" t="n"/>
      <c r="E165" s="8" t="n"/>
      <c r="F165" s="8" t="n"/>
      <c r="G165" s="8" t="n"/>
      <c r="H165" s="8" t="n"/>
      <c r="I165" s="8" t="n"/>
    </row>
    <row r="166">
      <c r="A166" s="8" t="n"/>
      <c r="B166" s="8" t="n"/>
      <c r="C166" s="8" t="n"/>
      <c r="D166" s="8" t="n"/>
      <c r="E166" s="8" t="n"/>
      <c r="F166" s="8" t="n"/>
      <c r="G166" s="8" t="n"/>
      <c r="H166" s="8" t="n"/>
      <c r="I166" s="8" t="n"/>
    </row>
    <row r="167">
      <c r="A167" s="8" t="n"/>
      <c r="B167" s="8" t="n"/>
      <c r="C167" s="8" t="n"/>
      <c r="D167" s="8" t="n"/>
      <c r="E167" s="8" t="n"/>
      <c r="F167" s="8" t="n"/>
      <c r="G167" s="8" t="n"/>
      <c r="H167" s="8" t="n"/>
      <c r="I167" s="8" t="n"/>
    </row>
    <row r="168">
      <c r="A168" s="8" t="n"/>
      <c r="B168" s="8" t="n"/>
      <c r="C168" s="8" t="n"/>
      <c r="D168" s="8" t="n"/>
      <c r="E168" s="8" t="n"/>
      <c r="F168" s="8" t="n"/>
      <c r="G168" s="8" t="n"/>
      <c r="H168" s="8" t="n"/>
      <c r="I168" s="8" t="n"/>
    </row>
    <row r="169">
      <c r="A169" s="8" t="n"/>
      <c r="B169" s="8" t="n"/>
      <c r="C169" s="8" t="n"/>
      <c r="D169" s="8" t="n"/>
      <c r="E169" s="8" t="n"/>
      <c r="F169" s="8" t="n"/>
      <c r="G169" s="8" t="n"/>
      <c r="H169" s="8" t="n"/>
      <c r="I169" s="8" t="n"/>
    </row>
    <row r="170">
      <c r="A170" s="8" t="n"/>
      <c r="B170" s="8" t="n"/>
      <c r="C170" s="8" t="n"/>
      <c r="D170" s="8" t="n"/>
      <c r="E170" s="8" t="n"/>
      <c r="F170" s="8" t="n"/>
      <c r="G170" s="8" t="n"/>
      <c r="H170" s="8" t="n"/>
      <c r="I170" s="8" t="n"/>
    </row>
    <row r="171">
      <c r="A171" s="8" t="n"/>
      <c r="B171" s="8" t="n"/>
      <c r="C171" s="8" t="n"/>
      <c r="D171" s="8" t="n"/>
      <c r="E171" s="8" t="n"/>
      <c r="F171" s="8" t="n"/>
      <c r="G171" s="8" t="n"/>
      <c r="H171" s="8" t="n"/>
      <c r="I171" s="8" t="n"/>
    </row>
    <row r="172">
      <c r="A172" s="8" t="n"/>
      <c r="B172" s="8" t="n"/>
      <c r="C172" s="8" t="n"/>
      <c r="D172" s="8" t="n"/>
      <c r="E172" s="8" t="n"/>
      <c r="F172" s="8" t="n"/>
      <c r="G172" s="8" t="n"/>
      <c r="H172" s="8" t="n"/>
      <c r="I172" s="8" t="n"/>
    </row>
    <row r="173">
      <c r="A173" s="8" t="n"/>
      <c r="B173" s="8" t="n"/>
      <c r="C173" s="8" t="n"/>
      <c r="D173" s="8" t="n"/>
      <c r="E173" s="8" t="n"/>
      <c r="F173" s="8" t="n"/>
      <c r="G173" s="8" t="n"/>
      <c r="H173" s="8" t="n"/>
      <c r="I173" s="8" t="n"/>
    </row>
    <row r="174">
      <c r="A174" s="8" t="n"/>
      <c r="B174" s="8" t="n"/>
      <c r="C174" s="8" t="n"/>
      <c r="D174" s="8" t="n"/>
      <c r="E174" s="8" t="n"/>
      <c r="F174" s="8" t="n"/>
      <c r="G174" s="8" t="n"/>
      <c r="H174" s="8" t="n"/>
      <c r="I174" s="8" t="n"/>
    </row>
    <row r="175">
      <c r="A175" s="8" t="n"/>
      <c r="B175" s="8" t="n"/>
      <c r="C175" s="8" t="n"/>
      <c r="D175" s="8" t="n"/>
      <c r="E175" s="8" t="n"/>
      <c r="F175" s="8" t="n"/>
      <c r="G175" s="8" t="n"/>
      <c r="H175" s="8" t="n"/>
      <c r="I175" s="8" t="n"/>
    </row>
    <row r="176">
      <c r="A176" s="8" t="n"/>
      <c r="B176" s="8" t="n"/>
      <c r="C176" s="8" t="n"/>
      <c r="D176" s="8" t="n"/>
      <c r="E176" s="8" t="n"/>
      <c r="F176" s="8" t="n"/>
      <c r="G176" s="8" t="n"/>
      <c r="H176" s="8" t="n"/>
      <c r="I176" s="8" t="n"/>
    </row>
    <row r="177">
      <c r="A177" s="8" t="n"/>
      <c r="B177" s="8" t="n"/>
      <c r="C177" s="8" t="n"/>
      <c r="D177" s="8" t="n"/>
      <c r="E177" s="8" t="n"/>
      <c r="F177" s="8" t="n"/>
      <c r="G177" s="8" t="n"/>
      <c r="H177" s="8" t="n"/>
      <c r="I177" s="8" t="n"/>
    </row>
    <row r="178">
      <c r="A178" s="8" t="n"/>
      <c r="B178" s="8" t="n"/>
      <c r="C178" s="8" t="n"/>
      <c r="D178" s="8" t="n"/>
      <c r="E178" s="8" t="n"/>
      <c r="F178" s="8" t="n"/>
      <c r="G178" s="8" t="n"/>
      <c r="H178" s="8" t="n"/>
      <c r="I178" s="8" t="n"/>
    </row>
    <row r="179">
      <c r="A179" s="8" t="n"/>
      <c r="B179" s="8" t="n"/>
      <c r="C179" s="8" t="n"/>
      <c r="D179" s="8" t="n"/>
      <c r="E179" s="8" t="n"/>
      <c r="F179" s="8" t="n"/>
      <c r="G179" s="8" t="n"/>
      <c r="H179" s="8" t="n"/>
      <c r="I179" s="8" t="n"/>
    </row>
    <row r="180">
      <c r="A180" s="8" t="n"/>
      <c r="B180" s="8" t="n"/>
      <c r="C180" s="8" t="n"/>
      <c r="D180" s="8" t="n"/>
      <c r="E180" s="8" t="n"/>
      <c r="F180" s="8" t="n"/>
      <c r="G180" s="8" t="n"/>
      <c r="H180" s="8" t="n"/>
      <c r="I180" s="8" t="n"/>
    </row>
    <row r="181">
      <c r="A181" s="8" t="n"/>
      <c r="B181" s="8" t="n"/>
      <c r="C181" s="8" t="n"/>
      <c r="D181" s="8" t="n"/>
      <c r="E181" s="8" t="n"/>
      <c r="F181" s="8" t="n"/>
      <c r="G181" s="8" t="n"/>
      <c r="H181" s="8" t="n"/>
      <c r="I181" s="8" t="n"/>
    </row>
    <row r="182">
      <c r="A182" s="8" t="n"/>
      <c r="B182" s="8" t="n"/>
      <c r="C182" s="8" t="n"/>
      <c r="D182" s="8" t="n"/>
      <c r="E182" s="8" t="n"/>
      <c r="F182" s="8" t="n"/>
      <c r="G182" s="8" t="n"/>
      <c r="H182" s="8" t="n"/>
      <c r="I182" s="8" t="n"/>
    </row>
    <row r="183">
      <c r="A183" s="8" t="n"/>
      <c r="B183" s="8" t="n"/>
      <c r="C183" s="8" t="n"/>
      <c r="D183" s="8" t="n"/>
      <c r="E183" s="8" t="n"/>
      <c r="F183" s="8" t="n"/>
      <c r="G183" s="8" t="n"/>
      <c r="H183" s="8" t="n"/>
      <c r="I183" s="8" t="n"/>
    </row>
    <row r="184">
      <c r="A184" s="8" t="n"/>
      <c r="B184" s="8" t="n"/>
      <c r="C184" s="8" t="n"/>
      <c r="D184" s="8" t="n"/>
      <c r="E184" s="8" t="n"/>
      <c r="F184" s="8" t="n"/>
      <c r="G184" s="8" t="n"/>
      <c r="H184" s="8" t="n"/>
      <c r="I184" s="8" t="n"/>
    </row>
    <row r="185">
      <c r="A185" s="8" t="n"/>
      <c r="B185" s="8" t="n"/>
      <c r="C185" s="8" t="n"/>
      <c r="D185" s="8" t="n"/>
      <c r="E185" s="8" t="n"/>
      <c r="F185" s="8" t="n"/>
      <c r="G185" s="8" t="n"/>
      <c r="H185" s="8" t="n"/>
      <c r="I185" s="8" t="n"/>
    </row>
    <row r="186">
      <c r="A186" s="8" t="n"/>
      <c r="B186" s="8" t="n"/>
      <c r="C186" s="8" t="n"/>
      <c r="D186" s="8" t="n"/>
      <c r="E186" s="8" t="n"/>
      <c r="F186" s="8" t="n"/>
      <c r="G186" s="8" t="n"/>
      <c r="H186" s="8" t="n"/>
      <c r="I186" s="8" t="n"/>
    </row>
    <row r="187">
      <c r="A187" s="8" t="n"/>
      <c r="B187" s="8" t="n"/>
      <c r="C187" s="8" t="n"/>
      <c r="D187" s="8" t="n"/>
      <c r="E187" s="8" t="n"/>
      <c r="F187" s="8" t="n"/>
      <c r="G187" s="8" t="n"/>
      <c r="H187" s="8" t="n"/>
      <c r="I187" s="8" t="n"/>
    </row>
    <row r="188">
      <c r="A188" s="8" t="n"/>
      <c r="B188" s="8" t="n"/>
      <c r="C188" s="8" t="n"/>
      <c r="D188" s="8" t="n"/>
      <c r="E188" s="8" t="n"/>
      <c r="F188" s="8" t="n"/>
      <c r="G188" s="8" t="n"/>
      <c r="H188" s="8" t="n"/>
      <c r="I188" s="8" t="n"/>
    </row>
    <row r="189">
      <c r="A189" s="8" t="n"/>
      <c r="B189" s="8" t="n"/>
      <c r="C189" s="8" t="n"/>
      <c r="D189" s="8" t="n"/>
      <c r="E189" s="8" t="n"/>
      <c r="F189" s="8" t="n"/>
      <c r="G189" s="8" t="n"/>
      <c r="H189" s="8" t="n"/>
      <c r="I189" s="8" t="n"/>
    </row>
    <row r="190">
      <c r="A190" s="8" t="n"/>
      <c r="B190" s="8" t="n"/>
      <c r="C190" s="8" t="n"/>
      <c r="D190" s="8" t="n"/>
      <c r="E190" s="8" t="n"/>
      <c r="F190" s="8" t="n"/>
      <c r="G190" s="8" t="n"/>
      <c r="H190" s="8" t="n"/>
      <c r="I190" s="8" t="n"/>
    </row>
    <row r="191">
      <c r="A191" s="8" t="n"/>
      <c r="B191" s="8" t="n"/>
      <c r="C191" s="8" t="n"/>
      <c r="D191" s="8" t="n"/>
      <c r="E191" s="8" t="n"/>
      <c r="F191" s="8" t="n"/>
      <c r="G191" s="8" t="n"/>
      <c r="H191" s="8" t="n"/>
      <c r="I191" s="8" t="n"/>
    </row>
    <row r="192">
      <c r="A192" s="8" t="n"/>
      <c r="B192" s="8" t="n"/>
      <c r="C192" s="8" t="n"/>
      <c r="D192" s="8" t="n"/>
      <c r="E192" s="8" t="n"/>
      <c r="F192" s="8" t="n"/>
      <c r="G192" s="8" t="n"/>
      <c r="H192" s="8" t="n"/>
      <c r="I192" s="8" t="n"/>
    </row>
    <row r="193">
      <c r="A193" s="8" t="n"/>
      <c r="B193" s="8" t="n"/>
      <c r="C193" s="8" t="n"/>
      <c r="D193" s="8" t="n"/>
      <c r="E193" s="8" t="n"/>
      <c r="F193" s="8" t="n"/>
      <c r="G193" s="8" t="n"/>
      <c r="H193" s="8" t="n"/>
      <c r="I193" s="8" t="n"/>
    </row>
    <row r="194">
      <c r="A194" s="8" t="n"/>
      <c r="B194" s="8" t="n"/>
      <c r="C194" s="8" t="n"/>
      <c r="D194" s="8" t="n"/>
      <c r="E194" s="8" t="n"/>
      <c r="F194" s="8" t="n"/>
      <c r="G194" s="8" t="n"/>
      <c r="H194" s="8" t="n"/>
      <c r="I194" s="8" t="n"/>
    </row>
    <row r="195">
      <c r="A195" s="8" t="n"/>
      <c r="B195" s="8" t="n"/>
      <c r="C195" s="8" t="n"/>
      <c r="D195" s="8" t="n"/>
      <c r="E195" s="8" t="n"/>
      <c r="F195" s="8" t="n"/>
      <c r="G195" s="8" t="n"/>
      <c r="H195" s="8" t="n"/>
      <c r="I195" s="8" t="n"/>
    </row>
    <row r="196">
      <c r="A196" s="8" t="n"/>
      <c r="B196" s="8" t="n"/>
      <c r="C196" s="8" t="n"/>
      <c r="D196" s="8" t="n"/>
      <c r="E196" s="8" t="n"/>
      <c r="F196" s="8" t="n"/>
      <c r="G196" s="8" t="n"/>
      <c r="H196" s="8" t="n"/>
      <c r="I196" s="8" t="n"/>
    </row>
    <row r="197">
      <c r="A197" s="8" t="n"/>
      <c r="B197" s="8" t="n"/>
      <c r="C197" s="8" t="n"/>
      <c r="D197" s="8" t="n"/>
      <c r="E197" s="8" t="n"/>
      <c r="F197" s="8" t="n"/>
      <c r="G197" s="8" t="n"/>
      <c r="H197" s="8" t="n"/>
      <c r="I197" s="8" t="n"/>
    </row>
    <row r="198">
      <c r="A198" s="8" t="n"/>
      <c r="B198" s="8" t="n"/>
      <c r="C198" s="8" t="n"/>
      <c r="D198" s="8" t="n"/>
      <c r="E198" s="8" t="n"/>
      <c r="F198" s="8" t="n"/>
      <c r="G198" s="8" t="n"/>
      <c r="H198" s="8" t="n"/>
      <c r="I198" s="8" t="n"/>
    </row>
    <row r="199">
      <c r="A199" s="8" t="n"/>
      <c r="B199" s="8" t="n"/>
      <c r="C199" s="8" t="n"/>
      <c r="D199" s="8" t="n"/>
      <c r="E199" s="8" t="n"/>
      <c r="F199" s="8" t="n"/>
      <c r="G199" s="8" t="n"/>
      <c r="H199" s="8" t="n"/>
      <c r="I199" s="8" t="n"/>
    </row>
    <row r="200">
      <c r="A200" s="8" t="n"/>
      <c r="B200" s="8" t="n"/>
      <c r="C200" s="8" t="n"/>
      <c r="D200" s="8" t="n"/>
      <c r="E200" s="8" t="n"/>
      <c r="F200" s="8" t="n"/>
      <c r="G200" s="8" t="n"/>
      <c r="H200" s="8" t="n"/>
      <c r="I200" s="8" t="n"/>
    </row>
    <row r="201">
      <c r="A201" s="8" t="n"/>
      <c r="B201" s="8" t="n"/>
      <c r="C201" s="8" t="n"/>
      <c r="D201" s="8" t="n"/>
      <c r="E201" s="8" t="n"/>
      <c r="F201" s="8" t="n"/>
      <c r="G201" s="8" t="n"/>
      <c r="H201" s="8" t="n"/>
      <c r="I201" s="8" t="n"/>
    </row>
    <row r="202">
      <c r="A202" s="8" t="n"/>
      <c r="B202" s="8" t="n"/>
      <c r="C202" s="8" t="n"/>
      <c r="D202" s="8" t="n"/>
      <c r="E202" s="8" t="n"/>
      <c r="F202" s="8" t="n"/>
      <c r="G202" s="8" t="n"/>
      <c r="H202" s="8" t="n"/>
      <c r="I202" s="8" t="n"/>
    </row>
    <row r="203">
      <c r="A203" s="8" t="n"/>
      <c r="B203" s="8" t="n"/>
      <c r="C203" s="8" t="n"/>
      <c r="D203" s="8" t="n"/>
      <c r="E203" s="8" t="n"/>
      <c r="F203" s="8" t="n"/>
      <c r="G203" s="8" t="n"/>
      <c r="H203" s="8" t="n"/>
      <c r="I203" s="8" t="n"/>
    </row>
    <row r="204">
      <c r="A204" s="8" t="n"/>
      <c r="B204" s="8" t="n"/>
      <c r="C204" s="8" t="n"/>
      <c r="D204" s="8" t="n"/>
      <c r="E204" s="8" t="n"/>
      <c r="F204" s="8" t="n"/>
      <c r="G204" s="8" t="n"/>
      <c r="H204" s="8" t="n"/>
      <c r="I204" s="8" t="n"/>
    </row>
    <row r="205">
      <c r="A205" s="8" t="n"/>
      <c r="B205" s="8" t="n"/>
      <c r="C205" s="8" t="n"/>
      <c r="D205" s="8" t="n"/>
      <c r="E205" s="8" t="n"/>
      <c r="F205" s="8" t="n"/>
      <c r="G205" s="8" t="n"/>
      <c r="H205" s="8" t="n"/>
      <c r="I205" s="8" t="n"/>
    </row>
    <row r="206">
      <c r="A206" s="8" t="n"/>
      <c r="B206" s="8" t="n"/>
      <c r="C206" s="8" t="n"/>
      <c r="D206" s="8" t="n"/>
      <c r="E206" s="8" t="n"/>
      <c r="F206" s="8" t="n"/>
      <c r="G206" s="8" t="n"/>
      <c r="H206" s="8" t="n"/>
      <c r="I206" s="8" t="n"/>
    </row>
    <row r="207">
      <c r="A207" s="8" t="n"/>
      <c r="B207" s="8" t="n"/>
      <c r="C207" s="8" t="n"/>
      <c r="D207" s="8" t="n"/>
      <c r="E207" s="8" t="n"/>
      <c r="F207" s="8" t="n"/>
      <c r="G207" s="8" t="n"/>
      <c r="H207" s="8" t="n"/>
      <c r="I207" s="8" t="n"/>
    </row>
    <row r="208">
      <c r="A208" s="8" t="n"/>
      <c r="B208" s="8" t="n"/>
      <c r="C208" s="8" t="n"/>
      <c r="D208" s="8" t="n"/>
      <c r="E208" s="8" t="n"/>
      <c r="F208" s="8" t="n"/>
      <c r="G208" s="8" t="n"/>
      <c r="H208" s="8" t="n"/>
      <c r="I208" s="8" t="n"/>
    </row>
    <row r="209">
      <c r="A209" s="8" t="n"/>
      <c r="B209" s="8" t="n"/>
      <c r="C209" s="8" t="n"/>
      <c r="D209" s="8" t="n"/>
      <c r="E209" s="8" t="n"/>
      <c r="F209" s="8" t="n"/>
      <c r="G209" s="8" t="n"/>
      <c r="H209" s="8" t="n"/>
      <c r="I209" s="8" t="n"/>
    </row>
    <row r="210">
      <c r="A210" s="8" t="n"/>
      <c r="B210" s="8" t="n"/>
      <c r="C210" s="8" t="n"/>
      <c r="D210" s="8" t="n"/>
      <c r="E210" s="8" t="n"/>
      <c r="F210" s="8" t="n"/>
      <c r="G210" s="8" t="n"/>
      <c r="H210" s="8" t="n"/>
      <c r="I210" s="8" t="n"/>
    </row>
    <row r="211">
      <c r="A211" s="8" t="n"/>
      <c r="B211" s="8" t="n"/>
      <c r="C211" s="8" t="n"/>
      <c r="D211" s="8" t="n"/>
      <c r="E211" s="8" t="n"/>
      <c r="F211" s="8" t="n"/>
      <c r="G211" s="8" t="n"/>
      <c r="H211" s="8" t="n"/>
      <c r="I211" s="8" t="n"/>
    </row>
    <row r="212">
      <c r="A212" s="8" t="n"/>
      <c r="B212" s="8" t="n"/>
      <c r="C212" s="8" t="n"/>
      <c r="D212" s="8" t="n"/>
      <c r="E212" s="8" t="n"/>
      <c r="F212" s="8" t="n"/>
      <c r="G212" s="8" t="n"/>
      <c r="H212" s="8" t="n"/>
      <c r="I212" s="8" t="n"/>
    </row>
    <row r="213">
      <c r="A213" s="8" t="n"/>
      <c r="B213" s="8" t="n"/>
      <c r="C213" s="8" t="n"/>
      <c r="D213" s="8" t="n"/>
      <c r="E213" s="8" t="n"/>
      <c r="F213" s="8" t="n"/>
      <c r="G213" s="8" t="n"/>
      <c r="H213" s="8" t="n"/>
      <c r="I213" s="8" t="n"/>
    </row>
    <row r="214">
      <c r="A214" s="8" t="n"/>
      <c r="B214" s="8" t="n"/>
      <c r="C214" s="8" t="n"/>
      <c r="D214" s="8" t="n"/>
      <c r="E214" s="8" t="n"/>
      <c r="F214" s="8" t="n"/>
      <c r="G214" s="8" t="n"/>
      <c r="H214" s="8" t="n"/>
      <c r="I214" s="8" t="n"/>
    </row>
    <row r="215">
      <c r="A215" s="8" t="n"/>
      <c r="B215" s="8" t="n"/>
      <c r="C215" s="8" t="n"/>
      <c r="D215" s="8" t="n"/>
      <c r="E215" s="8" t="n"/>
      <c r="F215" s="8" t="n"/>
      <c r="G215" s="8" t="n"/>
      <c r="H215" s="8" t="n"/>
      <c r="I215" s="8" t="n"/>
    </row>
    <row r="216">
      <c r="A216" s="8" t="n"/>
      <c r="B216" s="8" t="n"/>
      <c r="C216" s="8" t="n"/>
      <c r="D216" s="8" t="n"/>
      <c r="E216" s="8" t="n"/>
      <c r="F216" s="8" t="n"/>
      <c r="G216" s="8" t="n"/>
      <c r="H216" s="8" t="n"/>
      <c r="I216" s="8" t="n"/>
    </row>
    <row r="217">
      <c r="A217" s="8" t="n"/>
      <c r="B217" s="8" t="n"/>
      <c r="C217" s="8" t="n"/>
      <c r="D217" s="8" t="n"/>
      <c r="E217" s="8" t="n"/>
      <c r="F217" s="8" t="n"/>
      <c r="G217" s="8" t="n"/>
      <c r="H217" s="8" t="n"/>
      <c r="I217" s="8" t="n"/>
    </row>
    <row r="218">
      <c r="A218" s="8" t="n"/>
      <c r="B218" s="8" t="n"/>
      <c r="C218" s="8" t="n"/>
      <c r="D218" s="8" t="n"/>
      <c r="E218" s="8" t="n"/>
      <c r="F218" s="8" t="n"/>
      <c r="G218" s="8" t="n"/>
      <c r="H218" s="8" t="n"/>
      <c r="I218" s="8" t="n"/>
    </row>
    <row r="219">
      <c r="A219" s="8" t="n"/>
      <c r="B219" s="8" t="n"/>
      <c r="C219" s="8" t="n"/>
      <c r="D219" s="8" t="n"/>
      <c r="E219" s="8" t="n"/>
      <c r="F219" s="8" t="n"/>
      <c r="G219" s="8" t="n"/>
      <c r="H219" s="8" t="n"/>
      <c r="I219" s="8" t="n"/>
    </row>
    <row r="220">
      <c r="A220" s="8" t="n"/>
      <c r="B220" s="8" t="n"/>
      <c r="C220" s="8" t="n"/>
      <c r="D220" s="8" t="n"/>
      <c r="E220" s="8" t="n"/>
      <c r="F220" s="8" t="n"/>
      <c r="G220" s="8" t="n"/>
      <c r="H220" s="8" t="n"/>
      <c r="I220" s="8" t="n"/>
    </row>
    <row r="221">
      <c r="A221" s="8" t="n"/>
      <c r="B221" s="8" t="n"/>
      <c r="C221" s="8" t="n"/>
      <c r="D221" s="8" t="n"/>
      <c r="E221" s="8" t="n"/>
      <c r="F221" s="8" t="n"/>
      <c r="G221" s="8" t="n"/>
      <c r="H221" s="8" t="n"/>
      <c r="I221" s="8" t="n"/>
    </row>
    <row r="222">
      <c r="A222" s="8" t="n"/>
      <c r="B222" s="8" t="n"/>
      <c r="C222" s="8" t="n"/>
      <c r="D222" s="8" t="n"/>
      <c r="E222" s="8" t="n"/>
      <c r="F222" s="8" t="n"/>
      <c r="G222" s="8" t="n"/>
      <c r="H222" s="8" t="n"/>
      <c r="I222" s="8" t="n"/>
    </row>
    <row r="223">
      <c r="A223" s="8" t="n"/>
      <c r="B223" s="8" t="n"/>
      <c r="C223" s="8" t="n"/>
      <c r="D223" s="8" t="n"/>
      <c r="E223" s="8" t="n"/>
      <c r="F223" s="8" t="n"/>
      <c r="G223" s="8" t="n"/>
      <c r="H223" s="8" t="n"/>
      <c r="I223" s="8" t="n"/>
    </row>
    <row r="224">
      <c r="A224" s="8" t="n"/>
      <c r="B224" s="8" t="n"/>
      <c r="C224" s="8" t="n"/>
      <c r="D224" s="8" t="n"/>
      <c r="E224" s="8" t="n"/>
      <c r="F224" s="8" t="n"/>
      <c r="G224" s="8" t="n"/>
      <c r="H224" s="8" t="n"/>
      <c r="I224" s="8" t="n"/>
    </row>
    <row r="225">
      <c r="A225" s="8" t="n"/>
      <c r="B225" s="8" t="n"/>
      <c r="C225" s="8" t="n"/>
      <c r="D225" s="8" t="n"/>
      <c r="E225" s="8" t="n"/>
      <c r="F225" s="8" t="n"/>
      <c r="G225" s="8" t="n"/>
      <c r="H225" s="8" t="n"/>
      <c r="I225" s="8" t="n"/>
    </row>
    <row r="226">
      <c r="A226" s="8" t="n"/>
      <c r="B226" s="8" t="n"/>
      <c r="C226" s="8" t="n"/>
      <c r="D226" s="8" t="n"/>
      <c r="E226" s="8" t="n"/>
      <c r="F226" s="8" t="n"/>
      <c r="G226" s="8" t="n"/>
      <c r="H226" s="8" t="n"/>
      <c r="I226" s="8" t="n"/>
    </row>
    <row r="227">
      <c r="A227" s="8" t="n"/>
      <c r="B227" s="8" t="n"/>
      <c r="C227" s="8" t="n"/>
      <c r="D227" s="8" t="n"/>
      <c r="E227" s="8" t="n"/>
      <c r="F227" s="8" t="n"/>
      <c r="G227" s="8" t="n"/>
      <c r="H227" s="8" t="n"/>
      <c r="I227" s="8" t="n"/>
    </row>
    <row r="228">
      <c r="A228" s="8" t="n"/>
      <c r="B228" s="8" t="n"/>
      <c r="C228" s="8" t="n"/>
      <c r="D228" s="8" t="n"/>
      <c r="E228" s="8" t="n"/>
      <c r="F228" s="8" t="n"/>
      <c r="G228" s="8" t="n"/>
      <c r="H228" s="8" t="n"/>
      <c r="I228" s="8" t="n"/>
    </row>
    <row r="229">
      <c r="A229" s="8" t="n"/>
      <c r="B229" s="8" t="n"/>
      <c r="C229" s="8" t="n"/>
      <c r="D229" s="8" t="n"/>
      <c r="E229" s="8" t="n"/>
      <c r="F229" s="8" t="n"/>
      <c r="G229" s="8" t="n"/>
      <c r="H229" s="8" t="n"/>
      <c r="I229" s="8" t="n"/>
    </row>
    <row r="230">
      <c r="A230" s="8" t="n"/>
      <c r="B230" s="8" t="n"/>
      <c r="C230" s="8" t="n"/>
      <c r="D230" s="8" t="n"/>
      <c r="E230" s="8" t="n"/>
      <c r="F230" s="8" t="n"/>
      <c r="G230" s="8" t="n"/>
      <c r="H230" s="8" t="n"/>
      <c r="I230" s="8" t="n"/>
    </row>
    <row r="231">
      <c r="A231" s="8" t="n"/>
      <c r="B231" s="8" t="n"/>
      <c r="C231" s="8" t="n"/>
      <c r="D231" s="8" t="n"/>
      <c r="E231" s="8" t="n"/>
      <c r="F231" s="8" t="n"/>
      <c r="G231" s="8" t="n"/>
      <c r="H231" s="8" t="n"/>
      <c r="I231" s="8" t="n"/>
    </row>
    <row r="232">
      <c r="A232" s="8" t="n"/>
      <c r="B232" s="8" t="n"/>
      <c r="C232" s="8" t="n"/>
      <c r="D232" s="8" t="n"/>
      <c r="E232" s="8" t="n"/>
      <c r="F232" s="8" t="n"/>
      <c r="G232" s="8" t="n"/>
      <c r="H232" s="8" t="n"/>
      <c r="I232" s="8" t="n"/>
    </row>
    <row r="233">
      <c r="A233" s="8" t="n"/>
      <c r="B233" s="8" t="n"/>
      <c r="C233" s="8" t="n"/>
      <c r="D233" s="8" t="n"/>
      <c r="E233" s="8" t="n"/>
      <c r="F233" s="8" t="n"/>
      <c r="G233" s="8" t="n"/>
      <c r="H233" s="8" t="n"/>
      <c r="I233" s="8" t="n"/>
    </row>
    <row r="234">
      <c r="A234" s="8" t="n"/>
      <c r="B234" s="8" t="n"/>
      <c r="C234" s="8" t="n"/>
      <c r="D234" s="8" t="n"/>
      <c r="E234" s="8" t="n"/>
      <c r="F234" s="8" t="n"/>
      <c r="G234" s="8" t="n"/>
      <c r="H234" s="8" t="n"/>
      <c r="I234" s="8" t="n"/>
    </row>
    <row r="235">
      <c r="A235" s="8" t="n"/>
      <c r="B235" s="8" t="n"/>
      <c r="C235" s="8" t="n"/>
      <c r="D235" s="8" t="n"/>
      <c r="E235" s="8" t="n"/>
      <c r="F235" s="8" t="n"/>
      <c r="G235" s="8" t="n"/>
      <c r="H235" s="8" t="n"/>
      <c r="I235" s="8" t="n"/>
    </row>
    <row r="236">
      <c r="A236" s="8" t="n"/>
      <c r="B236" s="8" t="n"/>
      <c r="C236" s="8" t="n"/>
      <c r="D236" s="8" t="n"/>
      <c r="E236" s="8" t="n"/>
      <c r="F236" s="8" t="n"/>
      <c r="G236" s="8" t="n"/>
      <c r="H236" s="8" t="n"/>
      <c r="I236" s="8" t="n"/>
    </row>
    <row r="237">
      <c r="A237" s="8" t="n"/>
      <c r="B237" s="8" t="n"/>
      <c r="C237" s="8" t="n"/>
      <c r="D237" s="8" t="n"/>
      <c r="E237" s="8" t="n"/>
      <c r="F237" s="8" t="n"/>
      <c r="G237" s="8" t="n"/>
      <c r="H237" s="8" t="n"/>
      <c r="I237" s="8" t="n"/>
    </row>
    <row r="238">
      <c r="A238" s="8" t="n"/>
      <c r="B238" s="8" t="n"/>
      <c r="C238" s="8" t="n"/>
      <c r="D238" s="8" t="n"/>
      <c r="E238" s="8" t="n"/>
      <c r="F238" s="8" t="n"/>
      <c r="G238" s="8" t="n"/>
      <c r="H238" s="8" t="n"/>
      <c r="I238" s="8" t="n"/>
    </row>
    <row r="239">
      <c r="A239" s="8" t="n"/>
      <c r="B239" s="8" t="n"/>
      <c r="C239" s="8" t="n"/>
      <c r="D239" s="8" t="n"/>
      <c r="E239" s="8" t="n"/>
      <c r="F239" s="8" t="n"/>
      <c r="G239" s="8" t="n"/>
      <c r="H239" s="8" t="n"/>
      <c r="I239" s="8" t="n"/>
    </row>
    <row r="240">
      <c r="A240" s="8" t="n"/>
      <c r="B240" s="8" t="n"/>
      <c r="C240" s="8" t="n"/>
      <c r="D240" s="8" t="n"/>
      <c r="E240" s="8" t="n"/>
      <c r="F240" s="8" t="n"/>
      <c r="G240" s="8" t="n"/>
      <c r="H240" s="8" t="n"/>
      <c r="I240" s="8" t="n"/>
    </row>
    <row r="241">
      <c r="A241" s="8" t="n"/>
      <c r="B241" s="8" t="n"/>
      <c r="C241" s="8" t="n"/>
      <c r="D241" s="8" t="n"/>
      <c r="E241" s="8" t="n"/>
      <c r="F241" s="8" t="n"/>
      <c r="G241" s="8" t="n"/>
      <c r="H241" s="8" t="n"/>
      <c r="I241" s="8" t="n"/>
    </row>
    <row r="242">
      <c r="A242" s="8" t="n"/>
      <c r="B242" s="8" t="n"/>
      <c r="C242" s="8" t="n"/>
      <c r="D242" s="8" t="n"/>
      <c r="E242" s="8" t="n"/>
      <c r="F242" s="8" t="n"/>
      <c r="G242" s="8" t="n"/>
      <c r="H242" s="8" t="n"/>
      <c r="I242" s="8" t="n"/>
    </row>
    <row r="243">
      <c r="A243" s="8" t="n"/>
      <c r="B243" s="8" t="n"/>
      <c r="C243" s="8" t="n"/>
      <c r="D243" s="8" t="n"/>
      <c r="E243" s="8" t="n"/>
      <c r="F243" s="8" t="n"/>
      <c r="G243" s="8" t="n"/>
      <c r="H243" s="8" t="n"/>
      <c r="I243" s="8" t="n"/>
    </row>
    <row r="244">
      <c r="A244" s="8" t="n"/>
      <c r="B244" s="8" t="n"/>
      <c r="C244" s="8" t="n"/>
      <c r="D244" s="8" t="n"/>
      <c r="E244" s="8" t="n"/>
      <c r="F244" s="8" t="n"/>
      <c r="G244" s="8" t="n"/>
      <c r="H244" s="8" t="n"/>
      <c r="I244" s="8" t="n"/>
    </row>
    <row r="245">
      <c r="A245" s="8" t="n"/>
      <c r="B245" s="8" t="n"/>
      <c r="C245" s="8" t="n"/>
      <c r="D245" s="8" t="n"/>
      <c r="E245" s="8" t="n"/>
      <c r="F245" s="8" t="n"/>
      <c r="G245" s="8" t="n"/>
      <c r="H245" s="8" t="n"/>
      <c r="I245" s="8" t="n"/>
    </row>
    <row r="246">
      <c r="A246" s="8" t="n"/>
      <c r="B246" s="8" t="n"/>
      <c r="C246" s="8" t="n"/>
      <c r="D246" s="8" t="n"/>
      <c r="E246" s="8" t="n"/>
      <c r="F246" s="8" t="n"/>
      <c r="G246" s="8" t="n"/>
      <c r="H246" s="8" t="n"/>
      <c r="I246" s="8" t="n"/>
    </row>
    <row r="247">
      <c r="A247" s="8" t="n"/>
      <c r="B247" s="8" t="n"/>
      <c r="C247" s="8" t="n"/>
      <c r="D247" s="8" t="n"/>
      <c r="E247" s="8" t="n"/>
      <c r="F247" s="8" t="n"/>
      <c r="G247" s="8" t="n"/>
      <c r="H247" s="8" t="n"/>
      <c r="I247" s="8" t="n"/>
    </row>
    <row r="248">
      <c r="A248" s="8" t="n"/>
      <c r="B248" s="8" t="n"/>
      <c r="C248" s="8" t="n"/>
      <c r="D248" s="8" t="n"/>
      <c r="E248" s="8" t="n"/>
      <c r="F248" s="8" t="n"/>
      <c r="G248" s="8" t="n"/>
      <c r="H248" s="8" t="n"/>
      <c r="I248" s="8" t="n"/>
    </row>
    <row r="249">
      <c r="A249" s="8" t="n"/>
      <c r="B249" s="8" t="n"/>
      <c r="C249" s="8" t="n"/>
      <c r="D249" s="8" t="n"/>
      <c r="E249" s="8" t="n"/>
      <c r="F249" s="8" t="n"/>
      <c r="G249" s="8" t="n"/>
      <c r="H249" s="8" t="n"/>
      <c r="I249" s="8" t="n"/>
    </row>
    <row r="250">
      <c r="A250" s="8" t="n"/>
      <c r="B250" s="8" t="n"/>
      <c r="C250" s="8" t="n"/>
      <c r="D250" s="8" t="n"/>
      <c r="E250" s="8" t="n"/>
      <c r="F250" s="8" t="n"/>
      <c r="G250" s="8" t="n"/>
      <c r="H250" s="8" t="n"/>
      <c r="I250" s="8" t="n"/>
    </row>
    <row r="251">
      <c r="A251" s="8" t="n"/>
      <c r="B251" s="8" t="n"/>
      <c r="C251" s="8" t="n"/>
      <c r="D251" s="8" t="n"/>
      <c r="E251" s="8" t="n"/>
      <c r="F251" s="8" t="n"/>
      <c r="G251" s="8" t="n"/>
      <c r="H251" s="8" t="n"/>
      <c r="I251" s="8" t="n"/>
    </row>
    <row r="252">
      <c r="A252" s="8" t="n"/>
      <c r="B252" s="8" t="n"/>
      <c r="C252" s="8" t="n"/>
      <c r="D252" s="8" t="n"/>
      <c r="E252" s="8" t="n"/>
      <c r="F252" s="8" t="n"/>
      <c r="G252" s="8" t="n"/>
      <c r="H252" s="8" t="n"/>
      <c r="I252" s="8" t="n"/>
    </row>
    <row r="253">
      <c r="A253" s="8" t="n"/>
      <c r="B253" s="8" t="n"/>
      <c r="C253" s="8" t="n"/>
      <c r="D253" s="8" t="n"/>
      <c r="E253" s="8" t="n"/>
      <c r="F253" s="8" t="n"/>
      <c r="G253" s="8" t="n"/>
      <c r="H253" s="8" t="n"/>
      <c r="I253" s="8" t="n"/>
    </row>
    <row r="254">
      <c r="A254" s="8" t="n"/>
      <c r="B254" s="8" t="n"/>
      <c r="C254" s="8" t="n"/>
      <c r="D254" s="8" t="n"/>
      <c r="E254" s="8" t="n"/>
      <c r="F254" s="8" t="n"/>
      <c r="G254" s="8" t="n"/>
      <c r="H254" s="8" t="n"/>
      <c r="I254" s="8" t="n"/>
    </row>
    <row r="255">
      <c r="A255" s="8" t="n"/>
      <c r="B255" s="8" t="n"/>
      <c r="C255" s="8" t="n"/>
      <c r="D255" s="8" t="n"/>
      <c r="E255" s="8" t="n"/>
      <c r="F255" s="8" t="n"/>
      <c r="G255" s="8" t="n"/>
      <c r="H255" s="8" t="n"/>
      <c r="I255" s="8" t="n"/>
    </row>
    <row r="256">
      <c r="A256" s="8" t="n"/>
      <c r="B256" s="8" t="n"/>
      <c r="C256" s="8" t="n"/>
      <c r="D256" s="8" t="n"/>
      <c r="E256" s="8" t="n"/>
      <c r="F256" s="8" t="n"/>
      <c r="G256" s="8" t="n"/>
      <c r="H256" s="8" t="n"/>
      <c r="I256" s="8" t="n"/>
    </row>
    <row r="257">
      <c r="A257" s="8" t="n"/>
      <c r="B257" s="8" t="n"/>
      <c r="C257" s="8" t="n"/>
      <c r="D257" s="8" t="n"/>
      <c r="E257" s="8" t="n"/>
      <c r="F257" s="8" t="n"/>
      <c r="G257" s="8" t="n"/>
      <c r="H257" s="8" t="n"/>
      <c r="I257" s="8" t="n"/>
    </row>
    <row r="258">
      <c r="A258" s="8" t="n"/>
      <c r="B258" s="8" t="n"/>
      <c r="C258" s="8" t="n"/>
      <c r="D258" s="8" t="n"/>
      <c r="E258" s="8" t="n"/>
      <c r="F258" s="8" t="n"/>
      <c r="G258" s="8" t="n"/>
      <c r="H258" s="8" t="n"/>
      <c r="I258" s="8" t="n"/>
    </row>
    <row r="259">
      <c r="A259" s="8" t="n"/>
      <c r="B259" s="8" t="n"/>
      <c r="C259" s="8" t="n"/>
      <c r="D259" s="8" t="n"/>
      <c r="E259" s="8" t="n"/>
      <c r="F259" s="8" t="n"/>
      <c r="G259" s="8" t="n"/>
      <c r="H259" s="8" t="n"/>
      <c r="I259" s="8" t="n"/>
    </row>
    <row r="260">
      <c r="A260" s="8" t="n"/>
      <c r="B260" s="8" t="n"/>
      <c r="C260" s="8" t="n"/>
      <c r="D260" s="8" t="n"/>
      <c r="E260" s="8" t="n"/>
      <c r="F260" s="8" t="n"/>
      <c r="G260" s="8" t="n"/>
      <c r="H260" s="8" t="n"/>
      <c r="I260" s="8" t="n"/>
    </row>
    <row r="261">
      <c r="A261" s="8" t="n"/>
      <c r="B261" s="8" t="n"/>
      <c r="C261" s="8" t="n"/>
      <c r="D261" s="8" t="n"/>
      <c r="E261" s="8" t="n"/>
      <c r="F261" s="8" t="n"/>
      <c r="G261" s="8" t="n"/>
      <c r="H261" s="8" t="n"/>
      <c r="I261" s="8" t="n"/>
    </row>
    <row r="262">
      <c r="A262" s="8" t="n"/>
      <c r="B262" s="8" t="n"/>
      <c r="C262" s="8" t="n"/>
      <c r="D262" s="8" t="n"/>
      <c r="E262" s="8" t="n"/>
      <c r="F262" s="8" t="n"/>
      <c r="G262" s="8" t="n"/>
      <c r="H262" s="8" t="n"/>
      <c r="I262" s="8" t="n"/>
    </row>
    <row r="263">
      <c r="A263" s="8" t="n"/>
      <c r="B263" s="8" t="n"/>
      <c r="C263" s="8" t="n"/>
      <c r="D263" s="8" t="n"/>
      <c r="E263" s="8" t="n"/>
      <c r="F263" s="8" t="n"/>
      <c r="G263" s="8" t="n"/>
      <c r="H263" s="8" t="n"/>
      <c r="I263" s="8" t="n"/>
    </row>
    <row r="264">
      <c r="A264" s="8" t="n"/>
      <c r="B264" s="8" t="n"/>
      <c r="C264" s="8" t="n"/>
      <c r="D264" s="8" t="n"/>
      <c r="E264" s="8" t="n"/>
      <c r="F264" s="8" t="n"/>
      <c r="G264" s="8" t="n"/>
      <c r="H264" s="8" t="n"/>
      <c r="I264" s="8" t="n"/>
    </row>
    <row r="265">
      <c r="A265" s="8" t="n"/>
      <c r="B265" s="8" t="n"/>
      <c r="C265" s="8" t="n"/>
      <c r="D265" s="8" t="n"/>
      <c r="E265" s="8" t="n"/>
      <c r="F265" s="8" t="n"/>
      <c r="G265" s="8" t="n"/>
      <c r="H265" s="8" t="n"/>
      <c r="I265" s="8" t="n"/>
    </row>
    <row r="266">
      <c r="A266" s="8" t="n"/>
      <c r="B266" s="8" t="n"/>
      <c r="C266" s="8" t="n"/>
      <c r="D266" s="8" t="n"/>
      <c r="E266" s="8" t="n"/>
      <c r="F266" s="8" t="n"/>
      <c r="G266" s="8" t="n"/>
      <c r="H266" s="8" t="n"/>
      <c r="I266" s="8" t="n"/>
    </row>
    <row r="267">
      <c r="A267" s="8" t="n"/>
      <c r="B267" s="8" t="n"/>
      <c r="C267" s="8" t="n"/>
      <c r="D267" s="8" t="n"/>
      <c r="E267" s="8" t="n"/>
      <c r="F267" s="8" t="n"/>
      <c r="G267" s="8" t="n"/>
      <c r="H267" s="8" t="n"/>
      <c r="I267" s="8" t="n"/>
    </row>
    <row r="268">
      <c r="A268" s="8" t="n"/>
      <c r="B268" s="8" t="n"/>
      <c r="C268" s="8" t="n"/>
      <c r="D268" s="8" t="n"/>
      <c r="E268" s="8" t="n"/>
      <c r="F268" s="8" t="n"/>
      <c r="G268" s="8" t="n"/>
      <c r="H268" s="8" t="n"/>
      <c r="I268" s="8" t="n"/>
    </row>
    <row r="269">
      <c r="A269" s="8" t="n"/>
      <c r="B269" s="8" t="n"/>
      <c r="C269" s="8" t="n"/>
      <c r="D269" s="8" t="n"/>
      <c r="E269" s="8" t="n"/>
      <c r="F269" s="8" t="n"/>
      <c r="G269" s="8" t="n"/>
      <c r="H269" s="8" t="n"/>
      <c r="I269" s="8" t="n"/>
    </row>
    <row r="270">
      <c r="A270" s="8" t="n"/>
      <c r="B270" s="8" t="n"/>
      <c r="C270" s="8" t="n"/>
      <c r="D270" s="8" t="n"/>
      <c r="E270" s="8" t="n"/>
      <c r="F270" s="8" t="n"/>
      <c r="G270" s="8" t="n"/>
      <c r="H270" s="8" t="n"/>
      <c r="I270" s="8" t="n"/>
    </row>
    <row r="271">
      <c r="A271" s="8" t="n"/>
      <c r="B271" s="8" t="n"/>
      <c r="C271" s="8" t="n"/>
      <c r="D271" s="8" t="n"/>
      <c r="E271" s="8" t="n"/>
      <c r="F271" s="8" t="n"/>
      <c r="G271" s="8" t="n"/>
      <c r="H271" s="8" t="n"/>
      <c r="I271" s="8" t="n"/>
    </row>
    <row r="272">
      <c r="A272" s="8" t="n"/>
      <c r="B272" s="8" t="n"/>
      <c r="C272" s="8" t="n"/>
      <c r="D272" s="8" t="n"/>
      <c r="E272" s="8" t="n"/>
      <c r="F272" s="8" t="n"/>
      <c r="G272" s="8" t="n"/>
      <c r="H272" s="8" t="n"/>
      <c r="I272" s="8" t="n"/>
    </row>
    <row r="273">
      <c r="A273" s="8" t="n"/>
      <c r="B273" s="8" t="n"/>
      <c r="C273" s="8" t="n"/>
      <c r="D273" s="8" t="n"/>
      <c r="E273" s="8" t="n"/>
      <c r="F273" s="8" t="n"/>
      <c r="G273" s="8" t="n"/>
      <c r="H273" s="8" t="n"/>
      <c r="I273" s="8" t="n"/>
    </row>
    <row r="274">
      <c r="A274" s="8" t="n"/>
      <c r="B274" s="8" t="n"/>
      <c r="C274" s="8" t="n"/>
      <c r="D274" s="8" t="n"/>
      <c r="E274" s="8" t="n"/>
      <c r="F274" s="8" t="n"/>
      <c r="G274" s="8" t="n"/>
      <c r="H274" s="8" t="n"/>
      <c r="I274" s="8" t="n"/>
    </row>
    <row r="275">
      <c r="A275" s="8" t="n"/>
      <c r="B275" s="8" t="n"/>
      <c r="C275" s="8" t="n"/>
      <c r="D275" s="8" t="n"/>
      <c r="E275" s="8" t="n"/>
      <c r="F275" s="8" t="n"/>
      <c r="G275" s="8" t="n"/>
      <c r="H275" s="8" t="n"/>
      <c r="I275" s="8" t="n"/>
    </row>
    <row r="276">
      <c r="A276" s="8" t="n"/>
      <c r="B276" s="8" t="n"/>
      <c r="C276" s="8" t="n"/>
      <c r="D276" s="8" t="n"/>
      <c r="E276" s="8" t="n"/>
      <c r="F276" s="8" t="n"/>
      <c r="G276" s="8" t="n"/>
      <c r="H276" s="8" t="n"/>
      <c r="I276" s="8" t="n"/>
    </row>
    <row r="277">
      <c r="A277" s="8" t="n"/>
      <c r="B277" s="8" t="n"/>
      <c r="C277" s="8" t="n"/>
      <c r="D277" s="8" t="n"/>
      <c r="E277" s="8" t="n"/>
      <c r="F277" s="8" t="n"/>
      <c r="G277" s="8" t="n"/>
      <c r="H277" s="8" t="n"/>
      <c r="I277" s="8" t="n"/>
    </row>
    <row r="278">
      <c r="A278" s="8" t="n"/>
      <c r="B278" s="8" t="n"/>
      <c r="C278" s="8" t="n"/>
      <c r="D278" s="8" t="n"/>
      <c r="E278" s="8" t="n"/>
      <c r="F278" s="8" t="n"/>
      <c r="G278" s="8" t="n"/>
      <c r="H278" s="8" t="n"/>
      <c r="I278" s="8" t="n"/>
    </row>
    <row r="279">
      <c r="A279" s="8" t="n"/>
      <c r="B279" s="8" t="n"/>
      <c r="C279" s="8" t="n"/>
      <c r="D279" s="8" t="n"/>
      <c r="E279" s="8" t="n"/>
      <c r="F279" s="8" t="n"/>
      <c r="G279" s="8" t="n"/>
      <c r="H279" s="8" t="n"/>
      <c r="I279" s="8" t="n"/>
    </row>
    <row r="280">
      <c r="A280" s="8" t="n"/>
      <c r="B280" s="8" t="n"/>
      <c r="C280" s="8" t="n"/>
      <c r="D280" s="8" t="n"/>
      <c r="E280" s="8" t="n"/>
      <c r="F280" s="8" t="n"/>
      <c r="G280" s="8" t="n"/>
      <c r="H280" s="8" t="n"/>
      <c r="I280" s="8" t="n"/>
    </row>
    <row r="281">
      <c r="A281" s="8" t="n"/>
      <c r="B281" s="8" t="n"/>
      <c r="C281" s="8" t="n"/>
      <c r="D281" s="8" t="n"/>
      <c r="E281" s="8" t="n"/>
      <c r="F281" s="8" t="n"/>
      <c r="G281" s="8" t="n"/>
      <c r="H281" s="8" t="n"/>
      <c r="I281" s="8" t="n"/>
    </row>
    <row r="282">
      <c r="A282" s="8" t="n"/>
      <c r="B282" s="8" t="n"/>
      <c r="C282" s="8" t="n"/>
      <c r="D282" s="8" t="n"/>
      <c r="E282" s="8" t="n"/>
      <c r="F282" s="8" t="n"/>
      <c r="G282" s="8" t="n"/>
      <c r="H282" s="8" t="n"/>
      <c r="I282" s="8" t="n"/>
    </row>
    <row r="283">
      <c r="A283" s="8" t="n"/>
      <c r="B283" s="8" t="n"/>
      <c r="C283" s="8" t="n"/>
      <c r="D283" s="8" t="n"/>
      <c r="E283" s="8" t="n"/>
      <c r="F283" s="8" t="n"/>
      <c r="G283" s="8" t="n"/>
      <c r="H283" s="8" t="n"/>
      <c r="I283" s="8" t="n"/>
    </row>
    <row r="284">
      <c r="A284" s="8" t="n"/>
      <c r="B284" s="8" t="n"/>
      <c r="C284" s="8" t="n"/>
      <c r="D284" s="8" t="n"/>
      <c r="E284" s="8" t="n"/>
      <c r="F284" s="8" t="n"/>
      <c r="G284" s="8" t="n"/>
      <c r="H284" s="8" t="n"/>
      <c r="I284" s="8" t="n"/>
    </row>
    <row r="285">
      <c r="A285" s="8" t="n"/>
      <c r="B285" s="8" t="n"/>
      <c r="C285" s="8" t="n"/>
      <c r="D285" s="8" t="n"/>
      <c r="E285" s="8" t="n"/>
      <c r="F285" s="8" t="n"/>
      <c r="G285" s="8" t="n"/>
      <c r="H285" s="8" t="n"/>
      <c r="I285" s="8" t="n"/>
    </row>
    <row r="286">
      <c r="A286" s="8" t="n"/>
      <c r="B286" s="8" t="n"/>
      <c r="C286" s="8" t="n"/>
      <c r="D286" s="8" t="n"/>
      <c r="E286" s="8" t="n"/>
      <c r="F286" s="8" t="n"/>
      <c r="G286" s="8" t="n"/>
      <c r="H286" s="8" t="n"/>
      <c r="I286" s="8" t="n"/>
    </row>
    <row r="287">
      <c r="A287" s="8" t="n"/>
      <c r="B287" s="8" t="n"/>
      <c r="C287" s="8" t="n"/>
      <c r="D287" s="8" t="n"/>
      <c r="E287" s="8" t="n"/>
      <c r="F287" s="8" t="n"/>
      <c r="G287" s="8" t="n"/>
      <c r="H287" s="8" t="n"/>
      <c r="I287" s="8" t="n"/>
    </row>
    <row r="288">
      <c r="A288" s="8" t="n"/>
      <c r="B288" s="8" t="n"/>
      <c r="C288" s="8" t="n"/>
      <c r="D288" s="8" t="n"/>
      <c r="E288" s="8" t="n"/>
      <c r="F288" s="8" t="n"/>
      <c r="G288" s="8" t="n"/>
      <c r="H288" s="8" t="n"/>
      <c r="I288" s="8" t="n"/>
    </row>
    <row r="289">
      <c r="A289" s="8" t="n"/>
      <c r="B289" s="8" t="n"/>
      <c r="C289" s="8" t="n"/>
      <c r="D289" s="8" t="n"/>
      <c r="E289" s="8" t="n"/>
      <c r="F289" s="8" t="n"/>
      <c r="G289" s="8" t="n"/>
      <c r="H289" s="8" t="n"/>
      <c r="I289" s="8" t="n"/>
    </row>
    <row r="290">
      <c r="A290" s="8" t="n"/>
      <c r="B290" s="8" t="n"/>
      <c r="C290" s="8" t="n"/>
      <c r="D290" s="8" t="n"/>
      <c r="E290" s="8" t="n"/>
      <c r="F290" s="8" t="n"/>
      <c r="G290" s="8" t="n"/>
      <c r="H290" s="8" t="n"/>
      <c r="I290" s="8" t="n"/>
    </row>
    <row r="291">
      <c r="A291" s="8" t="n"/>
      <c r="B291" s="8" t="n"/>
      <c r="C291" s="8" t="n"/>
      <c r="D291" s="8" t="n"/>
      <c r="E291" s="8" t="n"/>
      <c r="F291" s="8" t="n"/>
      <c r="G291" s="8" t="n"/>
      <c r="H291" s="8" t="n"/>
      <c r="I291" s="8" t="n"/>
    </row>
    <row r="292">
      <c r="A292" s="8" t="n"/>
      <c r="B292" s="8" t="n"/>
      <c r="C292" s="8" t="n"/>
      <c r="D292" s="8" t="n"/>
      <c r="E292" s="8" t="n"/>
      <c r="F292" s="8" t="n"/>
      <c r="G292" s="8" t="n"/>
      <c r="H292" s="8" t="n"/>
      <c r="I292" s="8" t="n"/>
    </row>
    <row r="293">
      <c r="A293" s="8" t="n"/>
      <c r="B293" s="8" t="n"/>
      <c r="C293" s="8" t="n"/>
      <c r="D293" s="8" t="n"/>
      <c r="E293" s="8" t="n"/>
      <c r="F293" s="8" t="n"/>
      <c r="G293" s="8" t="n"/>
      <c r="H293" s="8" t="n"/>
      <c r="I293" s="8" t="n"/>
    </row>
    <row r="294">
      <c r="A294" s="8" t="n"/>
      <c r="B294" s="8" t="n"/>
      <c r="C294" s="8" t="n"/>
      <c r="D294" s="8" t="n"/>
      <c r="E294" s="8" t="n"/>
      <c r="F294" s="8" t="n"/>
      <c r="G294" s="8" t="n"/>
      <c r="H294" s="8" t="n"/>
      <c r="I294" s="8" t="n"/>
    </row>
    <row r="295">
      <c r="A295" s="8" t="n"/>
      <c r="B295" s="8" t="n"/>
      <c r="C295" s="8" t="n"/>
      <c r="D295" s="8" t="n"/>
      <c r="E295" s="8" t="n"/>
      <c r="F295" s="8" t="n"/>
      <c r="G295" s="8" t="n"/>
      <c r="H295" s="8" t="n"/>
      <c r="I295" s="8" t="n"/>
    </row>
    <row r="296">
      <c r="A296" s="8" t="n"/>
      <c r="B296" s="8" t="n"/>
      <c r="C296" s="8" t="n"/>
      <c r="D296" s="8" t="n"/>
      <c r="E296" s="8" t="n"/>
      <c r="F296" s="8" t="n"/>
      <c r="G296" s="8" t="n"/>
      <c r="H296" s="8" t="n"/>
      <c r="I296" s="8" t="n"/>
    </row>
    <row r="297">
      <c r="A297" s="8" t="n"/>
      <c r="B297" s="8" t="n"/>
      <c r="C297" s="8" t="n"/>
      <c r="D297" s="8" t="n"/>
      <c r="E297" s="8" t="n"/>
      <c r="F297" s="8" t="n"/>
      <c r="G297" s="8" t="n"/>
      <c r="H297" s="8" t="n"/>
      <c r="I297" s="8" t="n"/>
    </row>
    <row r="298">
      <c r="A298" s="8" t="n"/>
      <c r="B298" s="8" t="n"/>
      <c r="C298" s="8" t="n"/>
      <c r="D298" s="8" t="n"/>
      <c r="E298" s="8" t="n"/>
      <c r="F298" s="8" t="n"/>
      <c r="G298" s="8" t="n"/>
      <c r="H298" s="8" t="n"/>
      <c r="I298" s="8" t="n"/>
    </row>
    <row r="299">
      <c r="A299" s="8" t="n"/>
      <c r="B299" s="8" t="n"/>
      <c r="C299" s="8" t="n"/>
      <c r="D299" s="8" t="n"/>
      <c r="E299" s="8" t="n"/>
      <c r="F299" s="8" t="n"/>
      <c r="G299" s="8" t="n"/>
      <c r="H299" s="8" t="n"/>
      <c r="I299" s="8" t="n"/>
    </row>
    <row r="300">
      <c r="A300" s="8" t="n"/>
      <c r="B300" s="8" t="n"/>
      <c r="C300" s="8" t="n"/>
      <c r="D300" s="8" t="n"/>
      <c r="E300" s="8" t="n"/>
      <c r="F300" s="8" t="n"/>
      <c r="G300" s="8" t="n"/>
      <c r="H300" s="8" t="n"/>
      <c r="I300" s="8" t="n"/>
    </row>
    <row r="301">
      <c r="A301" s="8" t="n"/>
      <c r="B301" s="8" t="n"/>
      <c r="C301" s="8" t="n"/>
      <c r="D301" s="8" t="n"/>
      <c r="E301" s="8" t="n"/>
      <c r="F301" s="8" t="n"/>
      <c r="G301" s="8" t="n"/>
      <c r="H301" s="8" t="n"/>
      <c r="I301" s="8" t="n"/>
    </row>
    <row r="302">
      <c r="A302" s="8" t="n"/>
      <c r="B302" s="8" t="n"/>
      <c r="C302" s="8" t="n"/>
      <c r="D302" s="8" t="n"/>
      <c r="E302" s="8" t="n"/>
      <c r="F302" s="8" t="n"/>
      <c r="G302" s="8" t="n"/>
      <c r="H302" s="8" t="n"/>
      <c r="I302" s="8" t="n"/>
    </row>
    <row r="303">
      <c r="A303" s="8" t="n"/>
      <c r="B303" s="8" t="n"/>
      <c r="C303" s="8" t="n"/>
      <c r="D303" s="8" t="n"/>
      <c r="E303" s="8" t="n"/>
      <c r="F303" s="8" t="n"/>
      <c r="G303" s="8" t="n"/>
      <c r="H303" s="8" t="n"/>
      <c r="I303" s="8" t="n"/>
    </row>
    <row r="304">
      <c r="A304" s="8" t="n"/>
      <c r="B304" s="8" t="n"/>
      <c r="C304" s="8" t="n"/>
      <c r="D304" s="8" t="n"/>
      <c r="E304" s="8" t="n"/>
      <c r="F304" s="8" t="n"/>
      <c r="G304" s="8" t="n"/>
      <c r="H304" s="8" t="n"/>
      <c r="I304" s="8" t="n"/>
    </row>
    <row r="305">
      <c r="A305" s="8" t="n"/>
      <c r="B305" s="8" t="n"/>
      <c r="C305" s="8" t="n"/>
      <c r="D305" s="8" t="n"/>
      <c r="E305" s="8" t="n"/>
      <c r="F305" s="8" t="n"/>
      <c r="G305" s="8" t="n"/>
      <c r="H305" s="8" t="n"/>
      <c r="I305" s="8" t="n"/>
    </row>
    <row r="306">
      <c r="A306" s="8" t="n"/>
      <c r="B306" s="8" t="n"/>
      <c r="C306" s="8" t="n"/>
      <c r="D306" s="8" t="n"/>
      <c r="E306" s="8" t="n"/>
      <c r="F306" s="8" t="n"/>
      <c r="G306" s="8" t="n"/>
      <c r="H306" s="8" t="n"/>
      <c r="I306" s="8" t="n"/>
    </row>
    <row r="307">
      <c r="A307" s="8" t="n"/>
      <c r="B307" s="8" t="n"/>
      <c r="C307" s="8" t="n"/>
      <c r="D307" s="8" t="n"/>
      <c r="E307" s="8" t="n"/>
      <c r="F307" s="8" t="n"/>
      <c r="G307" s="8" t="n"/>
      <c r="H307" s="8" t="n"/>
      <c r="I307" s="8" t="n"/>
    </row>
    <row r="308">
      <c r="A308" s="8" t="n"/>
      <c r="B308" s="8" t="n"/>
      <c r="C308" s="8" t="n"/>
      <c r="D308" s="8" t="n"/>
      <c r="E308" s="8" t="n"/>
      <c r="F308" s="8" t="n"/>
      <c r="G308" s="8" t="n"/>
      <c r="H308" s="8" t="n"/>
      <c r="I308" s="8" t="n"/>
    </row>
    <row r="309">
      <c r="A309" s="8" t="n"/>
      <c r="B309" s="8" t="n"/>
      <c r="C309" s="8" t="n"/>
      <c r="D309" s="8" t="n"/>
      <c r="E309" s="8" t="n"/>
      <c r="F309" s="8" t="n"/>
      <c r="G309" s="8" t="n"/>
      <c r="H309" s="8" t="n"/>
      <c r="I309" s="8" t="n"/>
    </row>
    <row r="310">
      <c r="A310" s="8" t="n"/>
      <c r="B310" s="8" t="n"/>
      <c r="C310" s="8" t="n"/>
      <c r="D310" s="8" t="n"/>
      <c r="E310" s="8" t="n"/>
      <c r="F310" s="8" t="n"/>
      <c r="G310" s="8" t="n"/>
      <c r="H310" s="8" t="n"/>
      <c r="I310" s="8" t="n"/>
    </row>
    <row r="311">
      <c r="A311" s="8" t="n"/>
      <c r="B311" s="8" t="n"/>
      <c r="C311" s="8" t="n"/>
      <c r="D311" s="8" t="n"/>
      <c r="E311" s="8" t="n"/>
      <c r="F311" s="8" t="n"/>
      <c r="G311" s="8" t="n"/>
      <c r="H311" s="8" t="n"/>
      <c r="I311" s="8" t="n"/>
    </row>
    <row r="312">
      <c r="A312" s="8" t="n"/>
      <c r="B312" s="8" t="n"/>
      <c r="C312" s="8" t="n"/>
      <c r="D312" s="8" t="n"/>
      <c r="E312" s="8" t="n"/>
      <c r="F312" s="8" t="n"/>
      <c r="G312" s="8" t="n"/>
      <c r="H312" s="8" t="n"/>
      <c r="I312" s="8" t="n"/>
    </row>
    <row r="313">
      <c r="A313" s="8" t="n"/>
      <c r="B313" s="8" t="n"/>
      <c r="C313" s="8" t="n"/>
      <c r="D313" s="8" t="n"/>
      <c r="E313" s="8" t="n"/>
      <c r="F313" s="8" t="n"/>
      <c r="G313" s="8" t="n"/>
      <c r="H313" s="8" t="n"/>
      <c r="I313" s="8" t="n"/>
    </row>
    <row r="314">
      <c r="A314" s="8" t="n"/>
      <c r="B314" s="8" t="n"/>
      <c r="C314" s="8" t="n"/>
      <c r="D314" s="8" t="n"/>
      <c r="E314" s="8" t="n"/>
      <c r="F314" s="8" t="n"/>
      <c r="G314" s="8" t="n"/>
      <c r="H314" s="8" t="n"/>
      <c r="I314" s="8" t="n"/>
    </row>
    <row r="315">
      <c r="A315" s="8" t="n"/>
      <c r="B315" s="8" t="n"/>
      <c r="C315" s="8" t="n"/>
      <c r="D315" s="8" t="n"/>
      <c r="E315" s="8" t="n"/>
      <c r="F315" s="8" t="n"/>
      <c r="G315" s="8" t="n"/>
      <c r="H315" s="8" t="n"/>
      <c r="I315" s="8" t="n"/>
    </row>
    <row r="316">
      <c r="A316" s="8" t="n"/>
      <c r="B316" s="8" t="n"/>
      <c r="C316" s="8" t="n"/>
      <c r="D316" s="8" t="n"/>
      <c r="E316" s="8" t="n"/>
      <c r="F316" s="8" t="n"/>
      <c r="G316" s="8" t="n"/>
      <c r="H316" s="8" t="n"/>
      <c r="I316" s="8" t="n"/>
    </row>
    <row r="317">
      <c r="A317" s="8" t="n"/>
      <c r="B317" s="8" t="n"/>
      <c r="C317" s="8" t="n"/>
      <c r="D317" s="8" t="n"/>
      <c r="E317" s="8" t="n"/>
      <c r="F317" s="8" t="n"/>
      <c r="G317" s="8" t="n"/>
      <c r="H317" s="8" t="n"/>
      <c r="I317" s="8" t="n"/>
    </row>
    <row r="318">
      <c r="A318" s="8" t="n"/>
      <c r="B318" s="8" t="n"/>
      <c r="C318" s="8" t="n"/>
      <c r="D318" s="8" t="n"/>
      <c r="E318" s="8" t="n"/>
      <c r="F318" s="8" t="n"/>
      <c r="G318" s="8" t="n"/>
      <c r="H318" s="8" t="n"/>
      <c r="I318" s="8" t="n"/>
    </row>
    <row r="319">
      <c r="A319" s="8" t="n"/>
      <c r="B319" s="8" t="n"/>
      <c r="C319" s="8" t="n"/>
      <c r="D319" s="8" t="n"/>
      <c r="E319" s="8" t="n"/>
      <c r="F319" s="8" t="n"/>
      <c r="G319" s="8" t="n"/>
      <c r="H319" s="8" t="n"/>
      <c r="I319" s="8" t="n"/>
    </row>
    <row r="320">
      <c r="A320" s="8" t="n"/>
      <c r="B320" s="8" t="n"/>
      <c r="C320" s="8" t="n"/>
      <c r="D320" s="8" t="n"/>
      <c r="E320" s="8" t="n"/>
      <c r="F320" s="8" t="n"/>
      <c r="G320" s="8" t="n"/>
      <c r="H320" s="8" t="n"/>
      <c r="I320" s="8" t="n"/>
    </row>
    <row r="321">
      <c r="A321" s="8" t="n"/>
      <c r="B321" s="8" t="n"/>
      <c r="C321" s="8" t="n"/>
      <c r="D321" s="8" t="n"/>
      <c r="E321" s="8" t="n"/>
      <c r="F321" s="8" t="n"/>
      <c r="G321" s="8" t="n"/>
      <c r="H321" s="8" t="n"/>
      <c r="I321" s="8" t="n"/>
    </row>
    <row r="322">
      <c r="A322" s="8" t="n"/>
      <c r="B322" s="8" t="n"/>
      <c r="C322" s="8" t="n"/>
      <c r="D322" s="8" t="n"/>
      <c r="E322" s="8" t="n"/>
      <c r="F322" s="8" t="n"/>
      <c r="G322" s="8" t="n"/>
      <c r="H322" s="8" t="n"/>
      <c r="I322" s="8" t="n"/>
    </row>
    <row r="323">
      <c r="A323" s="8" t="n"/>
      <c r="B323" s="8" t="n"/>
      <c r="C323" s="8" t="n"/>
      <c r="D323" s="8" t="n"/>
      <c r="E323" s="8" t="n"/>
      <c r="F323" s="8" t="n"/>
      <c r="G323" s="8" t="n"/>
      <c r="H323" s="8" t="n"/>
      <c r="I323" s="8" t="n"/>
    </row>
    <row r="324">
      <c r="A324" s="8" t="n"/>
      <c r="B324" s="8" t="n"/>
      <c r="C324" s="8" t="n"/>
      <c r="D324" s="8" t="n"/>
      <c r="E324" s="8" t="n"/>
      <c r="F324" s="8" t="n"/>
      <c r="G324" s="8" t="n"/>
      <c r="H324" s="8" t="n"/>
      <c r="I324" s="8" t="n"/>
    </row>
    <row r="325">
      <c r="A325" s="8" t="n"/>
      <c r="B325" s="8" t="n"/>
      <c r="C325" s="8" t="n"/>
      <c r="D325" s="8" t="n"/>
      <c r="E325" s="8" t="n"/>
      <c r="F325" s="8" t="n"/>
      <c r="G325" s="8" t="n"/>
      <c r="H325" s="8" t="n"/>
      <c r="I325" s="8" t="n"/>
    </row>
    <row r="326">
      <c r="A326" s="8" t="n"/>
      <c r="B326" s="8" t="n"/>
      <c r="C326" s="8" t="n"/>
      <c r="D326" s="8" t="n"/>
      <c r="E326" s="8" t="n"/>
      <c r="F326" s="8" t="n"/>
      <c r="G326" s="8" t="n"/>
      <c r="H326" s="8" t="n"/>
      <c r="I326" s="8" t="n"/>
    </row>
    <row r="327">
      <c r="A327" s="8" t="n"/>
      <c r="B327" s="8" t="n"/>
      <c r="C327" s="8" t="n"/>
      <c r="D327" s="8" t="n"/>
      <c r="E327" s="8" t="n"/>
      <c r="F327" s="8" t="n"/>
      <c r="G327" s="8" t="n"/>
      <c r="H327" s="8" t="n"/>
      <c r="I327" s="8" t="n"/>
    </row>
    <row r="328">
      <c r="A328" s="8" t="n"/>
      <c r="B328" s="8" t="n"/>
      <c r="C328" s="8" t="n"/>
      <c r="D328" s="8" t="n"/>
      <c r="E328" s="8" t="n"/>
      <c r="F328" s="8" t="n"/>
      <c r="G328" s="8" t="n"/>
      <c r="H328" s="8" t="n"/>
      <c r="I328" s="8" t="n"/>
    </row>
    <row r="329">
      <c r="A329" s="8" t="n"/>
      <c r="B329" s="8" t="n"/>
      <c r="C329" s="8" t="n"/>
      <c r="D329" s="8" t="n"/>
      <c r="E329" s="8" t="n"/>
      <c r="F329" s="8" t="n"/>
      <c r="G329" s="8" t="n"/>
      <c r="H329" s="8" t="n"/>
      <c r="I329" s="8" t="n"/>
    </row>
    <row r="330">
      <c r="A330" s="8" t="n"/>
      <c r="B330" s="8" t="n"/>
      <c r="C330" s="8" t="n"/>
      <c r="D330" s="8" t="n"/>
      <c r="E330" s="8" t="n"/>
      <c r="F330" s="8" t="n"/>
      <c r="G330" s="8" t="n"/>
      <c r="H330" s="8" t="n"/>
      <c r="I330" s="8" t="n"/>
    </row>
    <row r="331">
      <c r="A331" s="8" t="n"/>
      <c r="B331" s="8" t="n"/>
      <c r="C331" s="8" t="n"/>
      <c r="D331" s="8" t="n"/>
      <c r="E331" s="8" t="n"/>
      <c r="F331" s="8" t="n"/>
      <c r="G331" s="8" t="n"/>
      <c r="H331" s="8" t="n"/>
      <c r="I331" s="8" t="n"/>
    </row>
    <row r="332">
      <c r="A332" s="8" t="n"/>
      <c r="B332" s="8" t="n"/>
      <c r="C332" s="8" t="n"/>
      <c r="D332" s="8" t="n"/>
      <c r="E332" s="8" t="n"/>
      <c r="F332" s="8" t="n"/>
      <c r="G332" s="8" t="n"/>
      <c r="H332" s="8" t="n"/>
      <c r="I332" s="8" t="n"/>
    </row>
    <row r="333">
      <c r="A333" s="8" t="n"/>
      <c r="B333" s="8" t="n"/>
      <c r="C333" s="8" t="n"/>
      <c r="D333" s="8" t="n"/>
      <c r="E333" s="8" t="n"/>
      <c r="F333" s="8" t="n"/>
      <c r="G333" s="8" t="n"/>
      <c r="H333" s="8" t="n"/>
      <c r="I333" s="8" t="n"/>
    </row>
    <row r="334">
      <c r="A334" s="8" t="n"/>
      <c r="B334" s="8" t="n"/>
      <c r="C334" s="8" t="n"/>
      <c r="D334" s="8" t="n"/>
      <c r="E334" s="8" t="n"/>
      <c r="F334" s="8" t="n"/>
      <c r="G334" s="8" t="n"/>
      <c r="H334" s="8" t="n"/>
      <c r="I334" s="8" t="n"/>
    </row>
    <row r="335">
      <c r="A335" s="8" t="n"/>
      <c r="B335" s="8" t="n"/>
      <c r="C335" s="8" t="n"/>
      <c r="D335" s="8" t="n"/>
      <c r="E335" s="8" t="n"/>
      <c r="F335" s="8" t="n"/>
      <c r="G335" s="8" t="n"/>
      <c r="H335" s="8" t="n"/>
      <c r="I335" s="8" t="n"/>
    </row>
    <row r="336">
      <c r="A336" s="8" t="n"/>
      <c r="B336" s="8" t="n"/>
      <c r="C336" s="8" t="n"/>
      <c r="D336" s="8" t="n"/>
      <c r="E336" s="8" t="n"/>
      <c r="F336" s="8" t="n"/>
      <c r="G336" s="8" t="n"/>
      <c r="H336" s="8" t="n"/>
      <c r="I336" s="8" t="n"/>
    </row>
    <row r="337">
      <c r="A337" s="8" t="n"/>
      <c r="B337" s="8" t="n"/>
      <c r="C337" s="8" t="n"/>
      <c r="D337" s="8" t="n"/>
      <c r="E337" s="8" t="n"/>
      <c r="F337" s="8" t="n"/>
      <c r="G337" s="8" t="n"/>
      <c r="H337" s="8" t="n"/>
      <c r="I337" s="8" t="n"/>
    </row>
    <row r="338">
      <c r="A338" s="8" t="n"/>
      <c r="B338" s="8" t="n"/>
      <c r="C338" s="8" t="n"/>
      <c r="D338" s="8" t="n"/>
      <c r="E338" s="8" t="n"/>
      <c r="F338" s="8" t="n"/>
      <c r="G338" s="8" t="n"/>
      <c r="H338" s="8" t="n"/>
      <c r="I338" s="8" t="n"/>
    </row>
    <row r="339">
      <c r="A339" s="8" t="n"/>
      <c r="B339" s="8" t="n"/>
      <c r="C339" s="8" t="n"/>
      <c r="D339" s="8" t="n"/>
      <c r="E339" s="8" t="n"/>
      <c r="F339" s="8" t="n"/>
      <c r="G339" s="8" t="n"/>
      <c r="H339" s="8" t="n"/>
      <c r="I339" s="8" t="n"/>
    </row>
    <row r="340">
      <c r="A340" s="8" t="n"/>
      <c r="B340" s="8" t="n"/>
      <c r="C340" s="8" t="n"/>
      <c r="D340" s="8" t="n"/>
      <c r="E340" s="8" t="n"/>
      <c r="F340" s="8" t="n"/>
      <c r="G340" s="8" t="n"/>
      <c r="H340" s="8" t="n"/>
      <c r="I340" s="8" t="n"/>
    </row>
    <row r="341">
      <c r="A341" s="8" t="n"/>
      <c r="B341" s="8" t="n"/>
      <c r="C341" s="8" t="n"/>
      <c r="D341" s="8" t="n"/>
      <c r="E341" s="8" t="n"/>
      <c r="F341" s="8" t="n"/>
      <c r="G341" s="8" t="n"/>
      <c r="H341" s="8" t="n"/>
      <c r="I341" s="8" t="n"/>
    </row>
    <row r="342">
      <c r="A342" s="8" t="n"/>
      <c r="B342" s="8" t="n"/>
      <c r="C342" s="8" t="n"/>
      <c r="D342" s="8" t="n"/>
      <c r="E342" s="8" t="n"/>
      <c r="F342" s="8" t="n"/>
      <c r="G342" s="8" t="n"/>
      <c r="H342" s="8" t="n"/>
      <c r="I342" s="8" t="n"/>
    </row>
    <row r="343">
      <c r="A343" s="8" t="n"/>
      <c r="B343" s="8" t="n"/>
      <c r="C343" s="8" t="n"/>
      <c r="D343" s="8" t="n"/>
      <c r="E343" s="8" t="n"/>
      <c r="F343" s="8" t="n"/>
      <c r="G343" s="8" t="n"/>
      <c r="H343" s="8" t="n"/>
      <c r="I343" s="8" t="n"/>
    </row>
    <row r="344">
      <c r="A344" s="8" t="n"/>
      <c r="B344" s="8" t="n"/>
      <c r="C344" s="8" t="n"/>
      <c r="D344" s="8" t="n"/>
      <c r="E344" s="8" t="n"/>
      <c r="F344" s="8" t="n"/>
      <c r="G344" s="8" t="n"/>
      <c r="H344" s="8" t="n"/>
      <c r="I344" s="8" t="n"/>
    </row>
    <row r="345">
      <c r="A345" s="8" t="n"/>
      <c r="B345" s="8" t="n"/>
      <c r="C345" s="8" t="n"/>
      <c r="D345" s="8" t="n"/>
      <c r="E345" s="8" t="n"/>
      <c r="F345" s="8" t="n"/>
      <c r="G345" s="8" t="n"/>
      <c r="H345" s="8" t="n"/>
      <c r="I345" s="8" t="n"/>
    </row>
    <row r="346">
      <c r="A346" s="8" t="n"/>
      <c r="B346" s="8" t="n"/>
      <c r="C346" s="8" t="n"/>
      <c r="D346" s="8" t="n"/>
      <c r="E346" s="8" t="n"/>
      <c r="F346" s="8" t="n"/>
      <c r="G346" s="8" t="n"/>
      <c r="H346" s="8" t="n"/>
      <c r="I346" s="8" t="n"/>
    </row>
    <row r="347">
      <c r="A347" s="8" t="n"/>
      <c r="B347" s="8" t="n"/>
      <c r="C347" s="8" t="n"/>
      <c r="D347" s="8" t="n"/>
      <c r="E347" s="8" t="n"/>
      <c r="F347" s="8" t="n"/>
      <c r="G347" s="8" t="n"/>
      <c r="H347" s="8" t="n"/>
      <c r="I347" s="8" t="n"/>
    </row>
    <row r="348">
      <c r="A348" s="8" t="n"/>
      <c r="B348" s="8" t="n"/>
      <c r="C348" s="8" t="n"/>
      <c r="D348" s="8" t="n"/>
      <c r="E348" s="8" t="n"/>
      <c r="F348" s="8" t="n"/>
      <c r="G348" s="8" t="n"/>
      <c r="H348" s="8" t="n"/>
      <c r="I348" s="8" t="n"/>
    </row>
    <row r="349">
      <c r="A349" s="8" t="n"/>
      <c r="B349" s="8" t="n"/>
      <c r="C349" s="8" t="n"/>
      <c r="D349" s="8" t="n"/>
      <c r="E349" s="8" t="n"/>
      <c r="F349" s="8" t="n"/>
      <c r="G349" s="8" t="n"/>
      <c r="H349" s="8" t="n"/>
      <c r="I349" s="8" t="n"/>
    </row>
    <row r="350">
      <c r="A350" s="8" t="n"/>
      <c r="B350" s="8" t="n"/>
      <c r="C350" s="8" t="n"/>
      <c r="D350" s="8" t="n"/>
      <c r="E350" s="8" t="n"/>
      <c r="F350" s="8" t="n"/>
      <c r="G350" s="8" t="n"/>
      <c r="H350" s="8" t="n"/>
      <c r="I350" s="8" t="n"/>
    </row>
    <row r="351">
      <c r="A351" s="8" t="n"/>
      <c r="B351" s="8" t="n"/>
      <c r="C351" s="8" t="n"/>
      <c r="D351" s="8" t="n"/>
      <c r="E351" s="8" t="n"/>
      <c r="F351" s="8" t="n"/>
      <c r="G351" s="8" t="n"/>
      <c r="H351" s="8" t="n"/>
      <c r="I351" s="8" t="n"/>
    </row>
    <row r="352">
      <c r="A352" s="8" t="n"/>
      <c r="B352" s="8" t="n"/>
      <c r="C352" s="8" t="n"/>
      <c r="D352" s="8" t="n"/>
      <c r="E352" s="8" t="n"/>
      <c r="F352" s="8" t="n"/>
      <c r="G352" s="8" t="n"/>
      <c r="H352" s="8" t="n"/>
      <c r="I352" s="8" t="n"/>
    </row>
    <row r="353">
      <c r="A353" s="8" t="n"/>
      <c r="B353" s="8" t="n"/>
      <c r="C353" s="8" t="n"/>
      <c r="D353" s="8" t="n"/>
      <c r="E353" s="8" t="n"/>
      <c r="F353" s="8" t="n"/>
      <c r="G353" s="8" t="n"/>
      <c r="H353" s="8" t="n"/>
      <c r="I353" s="8" t="n"/>
    </row>
    <row r="354">
      <c r="A354" s="8" t="n"/>
      <c r="B354" s="8" t="n"/>
      <c r="C354" s="8" t="n"/>
      <c r="D354" s="8" t="n"/>
      <c r="E354" s="8" t="n"/>
      <c r="F354" s="8" t="n"/>
      <c r="G354" s="8" t="n"/>
      <c r="H354" s="8" t="n"/>
      <c r="I354" s="8" t="n"/>
    </row>
    <row r="355">
      <c r="A355" s="8" t="n"/>
      <c r="B355" s="8" t="n"/>
      <c r="C355" s="8" t="n"/>
      <c r="D355" s="8" t="n"/>
      <c r="E355" s="8" t="n"/>
      <c r="F355" s="8" t="n"/>
      <c r="G355" s="8" t="n"/>
      <c r="H355" s="8" t="n"/>
      <c r="I355" s="8" t="n"/>
    </row>
    <row r="356">
      <c r="A356" s="8" t="n"/>
      <c r="B356" s="8" t="n"/>
      <c r="C356" s="8" t="n"/>
      <c r="D356" s="8" t="n"/>
      <c r="E356" s="8" t="n"/>
      <c r="F356" s="8" t="n"/>
      <c r="G356" s="8" t="n"/>
      <c r="H356" s="8" t="n"/>
      <c r="I356" s="8" t="n"/>
    </row>
    <row r="357">
      <c r="A357" s="8" t="n"/>
      <c r="B357" s="8" t="n"/>
      <c r="C357" s="8" t="n"/>
      <c r="D357" s="8" t="n"/>
      <c r="E357" s="8" t="n"/>
      <c r="F357" s="8" t="n"/>
      <c r="G357" s="8" t="n"/>
      <c r="H357" s="8" t="n"/>
      <c r="I357" s="8" t="n"/>
    </row>
    <row r="358">
      <c r="A358" s="8" t="n"/>
      <c r="B358" s="8" t="n"/>
      <c r="C358" s="8" t="n"/>
      <c r="D358" s="8" t="n"/>
      <c r="E358" s="8" t="n"/>
      <c r="F358" s="8" t="n"/>
      <c r="G358" s="8" t="n"/>
      <c r="H358" s="8" t="n"/>
      <c r="I358" s="8" t="n"/>
    </row>
    <row r="359">
      <c r="A359" s="8" t="n"/>
      <c r="B359" s="8" t="n"/>
      <c r="C359" s="8" t="n"/>
      <c r="D359" s="8" t="n"/>
      <c r="E359" s="8" t="n"/>
      <c r="F359" s="8" t="n"/>
      <c r="G359" s="8" t="n"/>
      <c r="H359" s="8" t="n"/>
      <c r="I359" s="8" t="n"/>
    </row>
    <row r="360">
      <c r="A360" s="8" t="n"/>
      <c r="B360" s="8" t="n"/>
      <c r="C360" s="8" t="n"/>
      <c r="D360" s="8" t="n"/>
      <c r="E360" s="8" t="n"/>
      <c r="F360" s="8" t="n"/>
      <c r="G360" s="8" t="n"/>
      <c r="H360" s="8" t="n"/>
      <c r="I360" s="8" t="n"/>
    </row>
    <row r="361">
      <c r="A361" s="8" t="n"/>
      <c r="B361" s="8" t="n"/>
      <c r="C361" s="8" t="n"/>
      <c r="D361" s="8" t="n"/>
      <c r="E361" s="8" t="n"/>
      <c r="F361" s="8" t="n"/>
      <c r="G361" s="8" t="n"/>
      <c r="H361" s="8" t="n"/>
      <c r="I361" s="8" t="n"/>
    </row>
    <row r="362">
      <c r="A362" s="8" t="n"/>
      <c r="B362" s="8" t="n"/>
      <c r="C362" s="8" t="n"/>
      <c r="D362" s="8" t="n"/>
      <c r="E362" s="8" t="n"/>
      <c r="F362" s="8" t="n"/>
      <c r="G362" s="8" t="n"/>
      <c r="H362" s="8" t="n"/>
      <c r="I362" s="8" t="n"/>
    </row>
    <row r="363">
      <c r="A363" s="8" t="n"/>
      <c r="B363" s="8" t="n"/>
      <c r="C363" s="8" t="n"/>
      <c r="D363" s="8" t="n"/>
      <c r="E363" s="8" t="n"/>
      <c r="F363" s="8" t="n"/>
      <c r="G363" s="8" t="n"/>
      <c r="H363" s="8" t="n"/>
      <c r="I363" s="8" t="n"/>
    </row>
    <row r="364">
      <c r="A364" s="8" t="n"/>
      <c r="B364" s="8" t="n"/>
      <c r="C364" s="8" t="n"/>
      <c r="D364" s="8" t="n"/>
      <c r="E364" s="8" t="n"/>
      <c r="F364" s="8" t="n"/>
      <c r="G364" s="8" t="n"/>
      <c r="H364" s="8" t="n"/>
      <c r="I364" s="8" t="n"/>
    </row>
    <row r="365">
      <c r="A365" s="8" t="n"/>
      <c r="B365" s="8" t="n"/>
      <c r="C365" s="8" t="n"/>
      <c r="D365" s="8" t="n"/>
      <c r="E365" s="8" t="n"/>
      <c r="F365" s="8" t="n"/>
      <c r="G365" s="8" t="n"/>
      <c r="H365" s="8" t="n"/>
      <c r="I365" s="8" t="n"/>
    </row>
    <row r="366">
      <c r="A366" s="8" t="n"/>
      <c r="B366" s="8" t="n"/>
      <c r="C366" s="8" t="n"/>
      <c r="D366" s="8" t="n"/>
      <c r="E366" s="8" t="n"/>
      <c r="F366" s="8" t="n"/>
      <c r="G366" s="8" t="n"/>
      <c r="H366" s="8" t="n"/>
      <c r="I366" s="8" t="n"/>
    </row>
    <row r="367">
      <c r="A367" s="8" t="n"/>
      <c r="B367" s="8" t="n"/>
      <c r="C367" s="8" t="n"/>
      <c r="D367" s="8" t="n"/>
      <c r="E367" s="8" t="n"/>
      <c r="F367" s="8" t="n"/>
      <c r="G367" s="8" t="n"/>
      <c r="H367" s="8" t="n"/>
      <c r="I367" s="8" t="n"/>
    </row>
    <row r="368">
      <c r="A368" s="8" t="n"/>
      <c r="B368" s="8" t="n"/>
      <c r="C368" s="8" t="n"/>
      <c r="D368" s="8" t="n"/>
      <c r="E368" s="8" t="n"/>
      <c r="F368" s="8" t="n"/>
      <c r="G368" s="8" t="n"/>
      <c r="H368" s="8" t="n"/>
      <c r="I368" s="8" t="n"/>
    </row>
    <row r="369">
      <c r="A369" s="8" t="n"/>
      <c r="B369" s="8" t="n"/>
      <c r="C369" s="8" t="n"/>
      <c r="D369" s="8" t="n"/>
      <c r="E369" s="8" t="n"/>
      <c r="F369" s="8" t="n"/>
      <c r="G369" s="8" t="n"/>
      <c r="H369" s="8" t="n"/>
      <c r="I369" s="8" t="n"/>
    </row>
    <row r="370">
      <c r="A370" s="8" t="n"/>
      <c r="B370" s="8" t="n"/>
      <c r="C370" s="8" t="n"/>
      <c r="D370" s="8" t="n"/>
      <c r="E370" s="8" t="n"/>
      <c r="F370" s="8" t="n"/>
      <c r="G370" s="8" t="n"/>
      <c r="H370" s="8" t="n"/>
      <c r="I370" s="8" t="n"/>
    </row>
    <row r="371">
      <c r="A371" s="8" t="n"/>
      <c r="B371" s="8" t="n"/>
      <c r="C371" s="8" t="n"/>
      <c r="D371" s="8" t="n"/>
      <c r="E371" s="8" t="n"/>
      <c r="F371" s="8" t="n"/>
      <c r="G371" s="8" t="n"/>
      <c r="H371" s="8" t="n"/>
      <c r="I371" s="8" t="n"/>
    </row>
    <row r="372">
      <c r="A372" s="8" t="n"/>
      <c r="B372" s="8" t="n"/>
      <c r="C372" s="8" t="n"/>
      <c r="D372" s="8" t="n"/>
      <c r="E372" s="8" t="n"/>
      <c r="F372" s="8" t="n"/>
      <c r="G372" s="8" t="n"/>
      <c r="H372" s="8" t="n"/>
      <c r="I372" s="8" t="n"/>
    </row>
    <row r="373">
      <c r="A373" s="8" t="n"/>
      <c r="B373" s="8" t="n"/>
      <c r="C373" s="8" t="n"/>
      <c r="D373" s="8" t="n"/>
      <c r="E373" s="8" t="n"/>
      <c r="F373" s="8" t="n"/>
      <c r="G373" s="8" t="n"/>
      <c r="H373" s="8" t="n"/>
      <c r="I373" s="8" t="n"/>
    </row>
    <row r="374">
      <c r="A374" s="8" t="n"/>
      <c r="B374" s="8" t="n"/>
      <c r="C374" s="8" t="n"/>
      <c r="D374" s="8" t="n"/>
      <c r="E374" s="8" t="n"/>
      <c r="F374" s="8" t="n"/>
      <c r="G374" s="8" t="n"/>
      <c r="H374" s="8" t="n"/>
      <c r="I374" s="8" t="n"/>
    </row>
    <row r="375">
      <c r="A375" s="8" t="n"/>
      <c r="B375" s="8" t="n"/>
      <c r="C375" s="8" t="n"/>
      <c r="D375" s="8" t="n"/>
      <c r="E375" s="8" t="n"/>
      <c r="F375" s="8" t="n"/>
      <c r="G375" s="8" t="n"/>
      <c r="H375" s="8" t="n"/>
      <c r="I375" s="8" t="n"/>
    </row>
    <row r="376">
      <c r="A376" s="8" t="n"/>
      <c r="B376" s="8" t="n"/>
      <c r="C376" s="8" t="n"/>
      <c r="D376" s="8" t="n"/>
      <c r="E376" s="8" t="n"/>
      <c r="F376" s="8" t="n"/>
      <c r="G376" s="8" t="n"/>
      <c r="H376" s="8" t="n"/>
      <c r="I376" s="8" t="n"/>
    </row>
    <row r="377">
      <c r="A377" s="8" t="n"/>
      <c r="B377" s="8" t="n"/>
      <c r="C377" s="8" t="n"/>
      <c r="D377" s="8" t="n"/>
      <c r="E377" s="8" t="n"/>
      <c r="F377" s="8" t="n"/>
      <c r="G377" s="8" t="n"/>
      <c r="H377" s="8" t="n"/>
      <c r="I377" s="8" t="n"/>
    </row>
    <row r="378">
      <c r="A378" s="8" t="n"/>
      <c r="B378" s="8" t="n"/>
      <c r="C378" s="8" t="n"/>
      <c r="D378" s="8" t="n"/>
      <c r="E378" s="8" t="n"/>
      <c r="F378" s="8" t="n"/>
      <c r="G378" s="8" t="n"/>
      <c r="H378" s="8" t="n"/>
      <c r="I378" s="8" t="n"/>
    </row>
    <row r="379">
      <c r="A379" s="8" t="n"/>
      <c r="B379" s="8" t="n"/>
      <c r="C379" s="8" t="n"/>
      <c r="D379" s="8" t="n"/>
      <c r="E379" s="8" t="n"/>
      <c r="F379" s="8" t="n"/>
      <c r="G379" s="8" t="n"/>
      <c r="H379" s="8" t="n"/>
      <c r="I379" s="8" t="n"/>
    </row>
    <row r="380">
      <c r="A380" s="8" t="n"/>
      <c r="B380" s="8" t="n"/>
      <c r="C380" s="8" t="n"/>
      <c r="D380" s="8" t="n"/>
      <c r="E380" s="8" t="n"/>
      <c r="F380" s="8" t="n"/>
      <c r="G380" s="8" t="n"/>
      <c r="H380" s="8" t="n"/>
      <c r="I380" s="8" t="n"/>
    </row>
    <row r="381">
      <c r="A381" s="8" t="n"/>
      <c r="B381" s="8" t="n"/>
      <c r="C381" s="8" t="n"/>
      <c r="D381" s="8" t="n"/>
      <c r="E381" s="8" t="n"/>
      <c r="F381" s="8" t="n"/>
      <c r="G381" s="8" t="n"/>
      <c r="H381" s="8" t="n"/>
      <c r="I381" s="8" t="n"/>
    </row>
    <row r="382">
      <c r="A382" s="8" t="n"/>
      <c r="B382" s="8" t="n"/>
      <c r="C382" s="8" t="n"/>
      <c r="D382" s="8" t="n"/>
      <c r="E382" s="8" t="n"/>
      <c r="F382" s="8" t="n"/>
      <c r="G382" s="8" t="n"/>
      <c r="H382" s="8" t="n"/>
      <c r="I382" s="8" t="n"/>
    </row>
    <row r="383">
      <c r="A383" s="8" t="n"/>
      <c r="B383" s="8" t="n"/>
      <c r="C383" s="8" t="n"/>
      <c r="D383" s="8" t="n"/>
      <c r="E383" s="8" t="n"/>
      <c r="F383" s="8" t="n"/>
      <c r="G383" s="8" t="n"/>
      <c r="H383" s="8" t="n"/>
      <c r="I383" s="8" t="n"/>
    </row>
    <row r="384">
      <c r="A384" s="8" t="n"/>
      <c r="B384" s="8" t="n"/>
      <c r="C384" s="8" t="n"/>
      <c r="D384" s="8" t="n"/>
      <c r="E384" s="8" t="n"/>
      <c r="F384" s="8" t="n"/>
      <c r="G384" s="8" t="n"/>
      <c r="H384" s="8" t="n"/>
      <c r="I384" s="8" t="n"/>
    </row>
    <row r="385">
      <c r="A385" s="8" t="n"/>
      <c r="B385" s="8" t="n"/>
      <c r="C385" s="8" t="n"/>
      <c r="D385" s="8" t="n"/>
      <c r="E385" s="8" t="n"/>
      <c r="F385" s="8" t="n"/>
      <c r="G385" s="8" t="n"/>
      <c r="H385" s="8" t="n"/>
      <c r="I385" s="8" t="n"/>
    </row>
    <row r="386">
      <c r="A386" s="8" t="n"/>
      <c r="B386" s="8" t="n"/>
      <c r="C386" s="8" t="n"/>
      <c r="D386" s="8" t="n"/>
      <c r="E386" s="8" t="n"/>
      <c r="F386" s="8" t="n"/>
      <c r="G386" s="8" t="n"/>
      <c r="H386" s="8" t="n"/>
      <c r="I386" s="8" t="n"/>
    </row>
    <row r="387">
      <c r="A387" s="8" t="n"/>
      <c r="B387" s="8" t="n"/>
      <c r="C387" s="8" t="n"/>
      <c r="D387" s="8" t="n"/>
      <c r="E387" s="8" t="n"/>
      <c r="F387" s="8" t="n"/>
      <c r="G387" s="8" t="n"/>
      <c r="H387" s="8" t="n"/>
      <c r="I387" s="8" t="n"/>
    </row>
    <row r="388">
      <c r="A388" s="8" t="n"/>
      <c r="B388" s="8" t="n"/>
      <c r="C388" s="8" t="n"/>
      <c r="D388" s="8" t="n"/>
      <c r="E388" s="8" t="n"/>
      <c r="F388" s="8" t="n"/>
      <c r="G388" s="8" t="n"/>
      <c r="H388" s="8" t="n"/>
      <c r="I388" s="8" t="n"/>
    </row>
    <row r="389">
      <c r="A389" s="8" t="n"/>
      <c r="B389" s="8" t="n"/>
      <c r="C389" s="8" t="n"/>
      <c r="D389" s="8" t="n"/>
      <c r="E389" s="8" t="n"/>
      <c r="F389" s="8" t="n"/>
      <c r="G389" s="8" t="n"/>
      <c r="H389" s="8" t="n"/>
      <c r="I389" s="8" t="n"/>
    </row>
    <row r="390">
      <c r="A390" s="8" t="n"/>
      <c r="B390" s="8" t="n"/>
      <c r="C390" s="8" t="n"/>
      <c r="D390" s="8" t="n"/>
      <c r="E390" s="8" t="n"/>
      <c r="F390" s="8" t="n"/>
      <c r="G390" s="8" t="n"/>
      <c r="H390" s="8" t="n"/>
      <c r="I390" s="8" t="n"/>
    </row>
    <row r="391">
      <c r="A391" s="8" t="n"/>
      <c r="B391" s="8" t="n"/>
      <c r="C391" s="8" t="n"/>
      <c r="D391" s="8" t="n"/>
      <c r="E391" s="8" t="n"/>
      <c r="F391" s="8" t="n"/>
      <c r="G391" s="8" t="n"/>
      <c r="H391" s="8" t="n"/>
      <c r="I391" s="8" t="n"/>
    </row>
    <row r="392">
      <c r="A392" s="8" t="n"/>
      <c r="B392" s="8" t="n"/>
      <c r="C392" s="8" t="n"/>
      <c r="D392" s="8" t="n"/>
      <c r="E392" s="8" t="n"/>
      <c r="F392" s="8" t="n"/>
      <c r="G392" s="8" t="n"/>
      <c r="H392" s="8" t="n"/>
      <c r="I392" s="8" t="n"/>
    </row>
    <row r="393">
      <c r="A393" s="8" t="n"/>
      <c r="B393" s="8" t="n"/>
      <c r="C393" s="8" t="n"/>
      <c r="D393" s="8" t="n"/>
      <c r="E393" s="8" t="n"/>
      <c r="F393" s="8" t="n"/>
      <c r="G393" s="8" t="n"/>
      <c r="H393" s="8" t="n"/>
      <c r="I393" s="8" t="n"/>
    </row>
    <row r="394">
      <c r="A394" s="8" t="n"/>
      <c r="B394" s="8" t="n"/>
      <c r="C394" s="8" t="n"/>
      <c r="D394" s="8" t="n"/>
      <c r="E394" s="8" t="n"/>
      <c r="F394" s="8" t="n"/>
      <c r="G394" s="8" t="n"/>
      <c r="H394" s="8" t="n"/>
      <c r="I394" s="8" t="n"/>
    </row>
    <row r="395">
      <c r="A395" s="8" t="n"/>
      <c r="B395" s="8" t="n"/>
      <c r="C395" s="8" t="n"/>
      <c r="D395" s="8" t="n"/>
      <c r="E395" s="8" t="n"/>
      <c r="F395" s="8" t="n"/>
      <c r="G395" s="8" t="n"/>
      <c r="H395" s="8" t="n"/>
      <c r="I395" s="8" t="n"/>
    </row>
    <row r="396">
      <c r="A396" s="8" t="n"/>
      <c r="B396" s="8" t="n"/>
      <c r="C396" s="8" t="n"/>
      <c r="D396" s="8" t="n"/>
      <c r="E396" s="8" t="n"/>
      <c r="F396" s="8" t="n"/>
      <c r="G396" s="8" t="n"/>
      <c r="H396" s="8" t="n"/>
      <c r="I396" s="8" t="n"/>
    </row>
    <row r="397">
      <c r="A397" s="8" t="n"/>
      <c r="B397" s="8" t="n"/>
      <c r="C397" s="8" t="n"/>
      <c r="D397" s="8" t="n"/>
      <c r="E397" s="8" t="n"/>
      <c r="F397" s="8" t="n"/>
      <c r="G397" s="8" t="n"/>
      <c r="H397" s="8" t="n"/>
      <c r="I397" s="8" t="n"/>
    </row>
    <row r="398">
      <c r="A398" s="8" t="n"/>
      <c r="B398" s="8" t="n"/>
      <c r="C398" s="8" t="n"/>
      <c r="D398" s="8" t="n"/>
      <c r="E398" s="8" t="n"/>
      <c r="F398" s="8" t="n"/>
      <c r="G398" s="8" t="n"/>
      <c r="H398" s="8" t="n"/>
      <c r="I398" s="8" t="n"/>
    </row>
    <row r="399">
      <c r="A399" s="8" t="n"/>
      <c r="B399" s="8" t="n"/>
      <c r="C399" s="8" t="n"/>
      <c r="D399" s="8" t="n"/>
      <c r="E399" s="8" t="n"/>
      <c r="F399" s="8" t="n"/>
      <c r="G399" s="8" t="n"/>
      <c r="H399" s="8" t="n"/>
      <c r="I399" s="8" t="n"/>
    </row>
    <row r="400">
      <c r="A400" s="8" t="n"/>
      <c r="B400" s="8" t="n"/>
      <c r="C400" s="8" t="n"/>
      <c r="D400" s="8" t="n"/>
      <c r="E400" s="8" t="n"/>
      <c r="F400" s="8" t="n"/>
      <c r="G400" s="8" t="n"/>
      <c r="H400" s="8" t="n"/>
      <c r="I400" s="8" t="n"/>
    </row>
    <row r="401">
      <c r="A401" s="8" t="n"/>
      <c r="B401" s="8" t="n"/>
      <c r="C401" s="8" t="n"/>
      <c r="D401" s="8" t="n"/>
      <c r="E401" s="8" t="n"/>
      <c r="F401" s="8" t="n"/>
      <c r="G401" s="8" t="n"/>
      <c r="H401" s="8" t="n"/>
      <c r="I401" s="8" t="n"/>
    </row>
    <row r="402">
      <c r="A402" s="8" t="n"/>
      <c r="B402" s="8" t="n"/>
      <c r="C402" s="8" t="n"/>
      <c r="D402" s="8" t="n"/>
      <c r="E402" s="8" t="n"/>
      <c r="F402" s="8" t="n"/>
      <c r="G402" s="8" t="n"/>
      <c r="H402" s="8" t="n"/>
      <c r="I402" s="8" t="n"/>
    </row>
    <row r="403">
      <c r="A403" s="8" t="n"/>
      <c r="B403" s="8" t="n"/>
      <c r="C403" s="8" t="n"/>
      <c r="D403" s="8" t="n"/>
      <c r="E403" s="8" t="n"/>
      <c r="F403" s="8" t="n"/>
      <c r="G403" s="8" t="n"/>
      <c r="H403" s="8" t="n"/>
      <c r="I403" s="8" t="n"/>
    </row>
    <row r="404">
      <c r="A404" s="8" t="n"/>
      <c r="B404" s="8" t="n"/>
      <c r="C404" s="8" t="n"/>
      <c r="D404" s="8" t="n"/>
      <c r="E404" s="8" t="n"/>
      <c r="F404" s="8" t="n"/>
      <c r="G404" s="8" t="n"/>
      <c r="H404" s="8" t="n"/>
      <c r="I404" s="8" t="n"/>
    </row>
    <row r="405">
      <c r="A405" s="8" t="n"/>
      <c r="B405" s="8" t="n"/>
      <c r="C405" s="8" t="n"/>
      <c r="D405" s="8" t="n"/>
      <c r="E405" s="8" t="n"/>
      <c r="F405" s="8" t="n"/>
      <c r="G405" s="8" t="n"/>
      <c r="H405" s="8" t="n"/>
      <c r="I405" s="8" t="n"/>
    </row>
    <row r="406">
      <c r="A406" s="8" t="n"/>
      <c r="B406" s="8" t="n"/>
      <c r="C406" s="8" t="n"/>
      <c r="D406" s="8" t="n"/>
      <c r="E406" s="8" t="n"/>
      <c r="F406" s="8" t="n"/>
      <c r="G406" s="8" t="n"/>
      <c r="H406" s="8" t="n"/>
      <c r="I406" s="8" t="n"/>
    </row>
    <row r="407">
      <c r="A407" s="8" t="n"/>
      <c r="B407" s="8" t="n"/>
      <c r="C407" s="8" t="n"/>
      <c r="D407" s="8" t="n"/>
      <c r="E407" s="8" t="n"/>
      <c r="F407" s="8" t="n"/>
      <c r="G407" s="8" t="n"/>
      <c r="H407" s="8" t="n"/>
      <c r="I407" s="8" t="n"/>
    </row>
    <row r="408">
      <c r="A408" s="8" t="n"/>
      <c r="B408" s="8" t="n"/>
      <c r="C408" s="8" t="n"/>
      <c r="D408" s="8" t="n"/>
      <c r="E408" s="8" t="n"/>
      <c r="F408" s="8" t="n"/>
      <c r="G408" s="8" t="n"/>
      <c r="H408" s="8" t="n"/>
      <c r="I408" s="8" t="n"/>
    </row>
    <row r="409">
      <c r="A409" s="8" t="n"/>
      <c r="B409" s="8" t="n"/>
      <c r="C409" s="8" t="n"/>
      <c r="D409" s="8" t="n"/>
      <c r="E409" s="8" t="n"/>
      <c r="F409" s="8" t="n"/>
      <c r="G409" s="8" t="n"/>
      <c r="H409" s="8" t="n"/>
      <c r="I409" s="8" t="n"/>
    </row>
    <row r="410">
      <c r="A410" s="8" t="n"/>
      <c r="B410" s="8" t="n"/>
      <c r="C410" s="8" t="n"/>
      <c r="D410" s="8" t="n"/>
      <c r="E410" s="8" t="n"/>
      <c r="F410" s="8" t="n"/>
      <c r="G410" s="8" t="n"/>
      <c r="H410" s="8" t="n"/>
      <c r="I410" s="8" t="n"/>
    </row>
    <row r="411">
      <c r="A411" s="8" t="n"/>
      <c r="B411" s="8" t="n"/>
      <c r="C411" s="8" t="n"/>
      <c r="D411" s="8" t="n"/>
      <c r="E411" s="8" t="n"/>
      <c r="F411" s="8" t="n"/>
      <c r="G411" s="8" t="n"/>
      <c r="H411" s="8" t="n"/>
      <c r="I411" s="8" t="n"/>
    </row>
    <row r="412">
      <c r="A412" s="8" t="n"/>
      <c r="B412" s="8" t="n"/>
      <c r="C412" s="8" t="n"/>
      <c r="D412" s="8" t="n"/>
      <c r="E412" s="8" t="n"/>
      <c r="F412" s="8" t="n"/>
      <c r="G412" s="8" t="n"/>
      <c r="H412" s="8" t="n"/>
      <c r="I412" s="8" t="n"/>
    </row>
    <row r="413">
      <c r="A413" s="8" t="n"/>
      <c r="B413" s="8" t="n"/>
      <c r="C413" s="8" t="n"/>
      <c r="D413" s="8" t="n"/>
      <c r="E413" s="8" t="n"/>
      <c r="F413" s="8" t="n"/>
      <c r="G413" s="8" t="n"/>
      <c r="H413" s="8" t="n"/>
      <c r="I413" s="8" t="n"/>
    </row>
    <row r="414">
      <c r="A414" s="8" t="n"/>
      <c r="B414" s="8" t="n"/>
      <c r="C414" s="8" t="n"/>
      <c r="D414" s="8" t="n"/>
      <c r="E414" s="8" t="n"/>
      <c r="F414" s="8" t="n"/>
      <c r="G414" s="8" t="n"/>
      <c r="H414" s="8" t="n"/>
      <c r="I414" s="8" t="n"/>
    </row>
    <row r="415">
      <c r="A415" s="8" t="n"/>
      <c r="B415" s="8" t="n"/>
      <c r="C415" s="8" t="n"/>
      <c r="D415" s="8" t="n"/>
      <c r="E415" s="8" t="n"/>
      <c r="F415" s="8" t="n"/>
      <c r="G415" s="8" t="n"/>
      <c r="H415" s="8" t="n"/>
      <c r="I415" s="8" t="n"/>
    </row>
    <row r="416">
      <c r="A416" s="8" t="n"/>
      <c r="B416" s="8" t="n"/>
      <c r="C416" s="8" t="n"/>
      <c r="D416" s="8" t="n"/>
      <c r="E416" s="8" t="n"/>
      <c r="F416" s="8" t="n"/>
      <c r="G416" s="8" t="n"/>
      <c r="H416" s="8" t="n"/>
      <c r="I416" s="8" t="n"/>
    </row>
    <row r="417">
      <c r="A417" s="8" t="n"/>
      <c r="B417" s="8" t="n"/>
      <c r="C417" s="8" t="n"/>
      <c r="D417" s="8" t="n"/>
      <c r="E417" s="8" t="n"/>
      <c r="F417" s="8" t="n"/>
      <c r="G417" s="8" t="n"/>
      <c r="H417" s="8" t="n"/>
      <c r="I417" s="8" t="n"/>
    </row>
    <row r="418">
      <c r="A418" s="8" t="n"/>
      <c r="B418" s="8" t="n"/>
      <c r="C418" s="8" t="n"/>
      <c r="D418" s="8" t="n"/>
      <c r="E418" s="8" t="n"/>
      <c r="F418" s="8" t="n"/>
      <c r="G418" s="8" t="n"/>
      <c r="H418" s="8" t="n"/>
      <c r="I418" s="8" t="n"/>
    </row>
    <row r="419">
      <c r="A419" s="8" t="n"/>
      <c r="B419" s="8" t="n"/>
      <c r="C419" s="8" t="n"/>
      <c r="D419" s="8" t="n"/>
      <c r="E419" s="8" t="n"/>
      <c r="F419" s="8" t="n"/>
      <c r="G419" s="8" t="n"/>
      <c r="H419" s="8" t="n"/>
      <c r="I419" s="8" t="n"/>
    </row>
    <row r="420">
      <c r="A420" s="8" t="n"/>
      <c r="B420" s="8" t="n"/>
      <c r="C420" s="8" t="n"/>
      <c r="D420" s="8" t="n"/>
      <c r="E420" s="8" t="n"/>
      <c r="F420" s="8" t="n"/>
      <c r="G420" s="8" t="n"/>
      <c r="H420" s="8" t="n"/>
      <c r="I420" s="8" t="n"/>
    </row>
    <row r="421">
      <c r="A421" s="8" t="n"/>
      <c r="B421" s="8" t="n"/>
      <c r="C421" s="8" t="n"/>
      <c r="D421" s="8" t="n"/>
      <c r="E421" s="8" t="n"/>
      <c r="F421" s="8" t="n"/>
      <c r="G421" s="8" t="n"/>
      <c r="H421" s="8" t="n"/>
      <c r="I421" s="8" t="n"/>
    </row>
    <row r="422">
      <c r="A422" s="8" t="n"/>
      <c r="B422" s="8" t="n"/>
      <c r="C422" s="8" t="n"/>
      <c r="D422" s="8" t="n"/>
      <c r="E422" s="8" t="n"/>
      <c r="F422" s="8" t="n"/>
      <c r="G422" s="8" t="n"/>
      <c r="H422" s="8" t="n"/>
      <c r="I422" s="8" t="n"/>
    </row>
    <row r="423">
      <c r="A423" s="8" t="n"/>
      <c r="B423" s="8" t="n"/>
      <c r="C423" s="8" t="n"/>
      <c r="D423" s="8" t="n"/>
      <c r="E423" s="8" t="n"/>
      <c r="F423" s="8" t="n"/>
      <c r="G423" s="8" t="n"/>
      <c r="H423" s="8" t="n"/>
      <c r="I423" s="8" t="n"/>
    </row>
    <row r="424">
      <c r="A424" s="8" t="n"/>
      <c r="B424" s="8" t="n"/>
      <c r="C424" s="8" t="n"/>
      <c r="D424" s="8" t="n"/>
      <c r="E424" s="8" t="n"/>
      <c r="F424" s="8" t="n"/>
      <c r="G424" s="8" t="n"/>
      <c r="H424" s="8" t="n"/>
      <c r="I424" s="8" t="n"/>
    </row>
    <row r="425">
      <c r="A425" s="8" t="n"/>
      <c r="B425" s="8" t="n"/>
      <c r="C425" s="8" t="n"/>
      <c r="D425" s="8" t="n"/>
      <c r="E425" s="8" t="n"/>
      <c r="F425" s="8" t="n"/>
      <c r="G425" s="8" t="n"/>
      <c r="H425" s="8" t="n"/>
      <c r="I425" s="8" t="n"/>
    </row>
    <row r="426">
      <c r="A426" s="8" t="n"/>
      <c r="B426" s="8" t="n"/>
      <c r="C426" s="8" t="n"/>
      <c r="D426" s="8" t="n"/>
      <c r="E426" s="8" t="n"/>
      <c r="F426" s="8" t="n"/>
      <c r="G426" s="8" t="n"/>
      <c r="H426" s="8" t="n"/>
      <c r="I426" s="8" t="n"/>
    </row>
    <row r="427">
      <c r="A427" s="8" t="n"/>
      <c r="B427" s="8" t="n"/>
      <c r="C427" s="8" t="n"/>
      <c r="D427" s="8" t="n"/>
      <c r="E427" s="8" t="n"/>
      <c r="F427" s="8" t="n"/>
      <c r="G427" s="8" t="n"/>
      <c r="H427" s="8" t="n"/>
      <c r="I427" s="8" t="n"/>
    </row>
    <row r="428">
      <c r="A428" s="8" t="n"/>
      <c r="B428" s="8" t="n"/>
      <c r="C428" s="8" t="n"/>
      <c r="D428" s="8" t="n"/>
      <c r="E428" s="8" t="n"/>
      <c r="F428" s="8" t="n"/>
      <c r="G428" s="8" t="n"/>
      <c r="H428" s="8" t="n"/>
      <c r="I428" s="8" t="n"/>
    </row>
    <row r="429">
      <c r="A429" s="8" t="n"/>
      <c r="B429" s="8" t="n"/>
      <c r="C429" s="8" t="n"/>
      <c r="D429" s="8" t="n"/>
      <c r="E429" s="8" t="n"/>
      <c r="F429" s="8" t="n"/>
      <c r="G429" s="8" t="n"/>
      <c r="H429" s="8" t="n"/>
      <c r="I429" s="8" t="n"/>
    </row>
    <row r="430">
      <c r="A430" s="8" t="n"/>
      <c r="B430" s="8" t="n"/>
      <c r="C430" s="8" t="n"/>
      <c r="D430" s="8" t="n"/>
      <c r="E430" s="8" t="n"/>
      <c r="F430" s="8" t="n"/>
      <c r="G430" s="8" t="n"/>
      <c r="H430" s="8" t="n"/>
      <c r="I430" s="8" t="n"/>
    </row>
    <row r="431">
      <c r="A431" s="8" t="n"/>
      <c r="B431" s="8" t="n"/>
      <c r="C431" s="8" t="n"/>
      <c r="D431" s="8" t="n"/>
      <c r="E431" s="8" t="n"/>
      <c r="F431" s="8" t="n"/>
      <c r="G431" s="8" t="n"/>
      <c r="H431" s="8" t="n"/>
      <c r="I431" s="8" t="n"/>
    </row>
    <row r="432">
      <c r="A432" s="8" t="n"/>
      <c r="B432" s="8" t="n"/>
      <c r="C432" s="8" t="n"/>
      <c r="D432" s="8" t="n"/>
      <c r="E432" s="8" t="n"/>
      <c r="F432" s="8" t="n"/>
      <c r="G432" s="8" t="n"/>
      <c r="H432" s="8" t="n"/>
      <c r="I432" s="8" t="n"/>
    </row>
    <row r="433">
      <c r="A433" s="8" t="n"/>
      <c r="B433" s="8" t="n"/>
      <c r="C433" s="8" t="n"/>
      <c r="D433" s="8" t="n"/>
      <c r="E433" s="8" t="n"/>
      <c r="F433" s="8" t="n"/>
      <c r="G433" s="8" t="n"/>
      <c r="H433" s="8" t="n"/>
      <c r="I433" s="8" t="n"/>
    </row>
    <row r="434">
      <c r="A434" s="8" t="n"/>
      <c r="B434" s="8" t="n"/>
      <c r="C434" s="8" t="n"/>
      <c r="D434" s="8" t="n"/>
      <c r="E434" s="8" t="n"/>
      <c r="F434" s="8" t="n"/>
      <c r="G434" s="8" t="n"/>
      <c r="H434" s="8" t="n"/>
      <c r="I434" s="8" t="n"/>
    </row>
    <row r="435">
      <c r="A435" s="8" t="n"/>
      <c r="B435" s="8" t="n"/>
      <c r="C435" s="8" t="n"/>
      <c r="D435" s="8" t="n"/>
      <c r="E435" s="8" t="n"/>
      <c r="F435" s="8" t="n"/>
      <c r="G435" s="8" t="n"/>
      <c r="H435" s="8" t="n"/>
      <c r="I435" s="8" t="n"/>
    </row>
    <row r="436">
      <c r="A436" s="8" t="n"/>
      <c r="B436" s="8" t="n"/>
      <c r="C436" s="8" t="n"/>
      <c r="D436" s="8" t="n"/>
      <c r="E436" s="8" t="n"/>
      <c r="F436" s="8" t="n"/>
      <c r="G436" s="8" t="n"/>
      <c r="H436" s="8" t="n"/>
      <c r="I436" s="8" t="n"/>
    </row>
    <row r="437">
      <c r="A437" s="8" t="n"/>
      <c r="B437" s="8" t="n"/>
      <c r="C437" s="8" t="n"/>
      <c r="D437" s="8" t="n"/>
      <c r="E437" s="8" t="n"/>
      <c r="F437" s="8" t="n"/>
      <c r="G437" s="8" t="n"/>
      <c r="H437" s="8" t="n"/>
      <c r="I437" s="8" t="n"/>
    </row>
    <row r="438">
      <c r="A438" s="8" t="n"/>
      <c r="B438" s="8" t="n"/>
      <c r="C438" s="8" t="n"/>
      <c r="D438" s="8" t="n"/>
      <c r="E438" s="8" t="n"/>
      <c r="F438" s="8" t="n"/>
      <c r="G438" s="8" t="n"/>
      <c r="H438" s="8" t="n"/>
      <c r="I438" s="8" t="n"/>
    </row>
    <row r="439">
      <c r="A439" s="8" t="n"/>
      <c r="B439" s="8" t="n"/>
      <c r="C439" s="8" t="n"/>
      <c r="D439" s="8" t="n"/>
      <c r="E439" s="8" t="n"/>
      <c r="F439" s="8" t="n"/>
      <c r="G439" s="8" t="n"/>
      <c r="H439" s="8" t="n"/>
      <c r="I439" s="8" t="n"/>
    </row>
    <row r="440">
      <c r="A440" s="8" t="n"/>
      <c r="B440" s="8" t="n"/>
      <c r="C440" s="8" t="n"/>
      <c r="D440" s="8" t="n"/>
      <c r="E440" s="8" t="n"/>
      <c r="F440" s="8" t="n"/>
      <c r="G440" s="8" t="n"/>
      <c r="H440" s="8" t="n"/>
      <c r="I440" s="8" t="n"/>
    </row>
    <row r="441">
      <c r="A441" s="8" t="n"/>
      <c r="B441" s="8" t="n"/>
      <c r="C441" s="8" t="n"/>
      <c r="D441" s="8" t="n"/>
      <c r="E441" s="8" t="n"/>
      <c r="F441" s="8" t="n"/>
      <c r="G441" s="8" t="n"/>
      <c r="H441" s="8" t="n"/>
      <c r="I441" s="8" t="n"/>
    </row>
    <row r="442">
      <c r="A442" s="8" t="n"/>
      <c r="B442" s="8" t="n"/>
      <c r="C442" s="8" t="n"/>
      <c r="D442" s="8" t="n"/>
      <c r="E442" s="8" t="n"/>
      <c r="F442" s="8" t="n"/>
      <c r="G442" s="8" t="n"/>
      <c r="H442" s="8" t="n"/>
      <c r="I442" s="8" t="n"/>
    </row>
    <row r="443">
      <c r="A443" s="8" t="n"/>
      <c r="B443" s="8" t="n"/>
      <c r="C443" s="8" t="n"/>
      <c r="D443" s="8" t="n"/>
      <c r="E443" s="8" t="n"/>
      <c r="F443" s="8" t="n"/>
      <c r="G443" s="8" t="n"/>
      <c r="H443" s="8" t="n"/>
      <c r="I443" s="8" t="n"/>
    </row>
    <row r="444">
      <c r="A444" s="8" t="n"/>
      <c r="B444" s="8" t="n"/>
      <c r="C444" s="8" t="n"/>
      <c r="D444" s="8" t="n"/>
      <c r="E444" s="8" t="n"/>
      <c r="F444" s="8" t="n"/>
      <c r="G444" s="8" t="n"/>
      <c r="H444" s="8" t="n"/>
      <c r="I444" s="8" t="n"/>
    </row>
    <row r="445">
      <c r="A445" s="8" t="n"/>
      <c r="B445" s="8" t="n"/>
      <c r="C445" s="8" t="n"/>
      <c r="D445" s="8" t="n"/>
      <c r="E445" s="8" t="n"/>
      <c r="F445" s="8" t="n"/>
      <c r="G445" s="8" t="n"/>
      <c r="H445" s="8" t="n"/>
      <c r="I445" s="8" t="n"/>
    </row>
    <row r="446">
      <c r="A446" s="8" t="n"/>
      <c r="B446" s="8" t="n"/>
      <c r="C446" s="8" t="n"/>
      <c r="D446" s="8" t="n"/>
      <c r="E446" s="8" t="n"/>
      <c r="F446" s="8" t="n"/>
      <c r="G446" s="8" t="n"/>
      <c r="H446" s="8" t="n"/>
      <c r="I446" s="8" t="n"/>
    </row>
    <row r="447">
      <c r="A447" s="8" t="n"/>
      <c r="B447" s="8" t="n"/>
      <c r="C447" s="8" t="n"/>
      <c r="D447" s="8" t="n"/>
      <c r="E447" s="8" t="n"/>
      <c r="F447" s="8" t="n"/>
      <c r="G447" s="8" t="n"/>
      <c r="H447" s="8" t="n"/>
      <c r="I447" s="8" t="n"/>
    </row>
    <row r="448">
      <c r="A448" s="8" t="n"/>
      <c r="B448" s="8" t="n"/>
      <c r="C448" s="8" t="n"/>
      <c r="D448" s="8" t="n"/>
      <c r="E448" s="8" t="n"/>
      <c r="F448" s="8" t="n"/>
      <c r="G448" s="8" t="n"/>
      <c r="H448" s="8" t="n"/>
      <c r="I448" s="8" t="n"/>
    </row>
    <row r="449">
      <c r="A449" s="8" t="n"/>
      <c r="B449" s="8" t="n"/>
      <c r="C449" s="8" t="n"/>
      <c r="D449" s="8" t="n"/>
      <c r="E449" s="8" t="n"/>
      <c r="F449" s="8" t="n"/>
      <c r="G449" s="8" t="n"/>
      <c r="H449" s="8" t="n"/>
      <c r="I449" s="8" t="n"/>
    </row>
    <row r="450">
      <c r="A450" s="8" t="n"/>
      <c r="B450" s="8" t="n"/>
      <c r="C450" s="8" t="n"/>
      <c r="D450" s="8" t="n"/>
      <c r="E450" s="8" t="n"/>
      <c r="F450" s="8" t="n"/>
      <c r="G450" s="8" t="n"/>
      <c r="H450" s="8" t="n"/>
      <c r="I450" s="8" t="n"/>
    </row>
    <row r="451">
      <c r="A451" s="8" t="n"/>
      <c r="B451" s="8" t="n"/>
      <c r="C451" s="8" t="n"/>
      <c r="D451" s="8" t="n"/>
      <c r="E451" s="8" t="n"/>
      <c r="F451" s="8" t="n"/>
      <c r="G451" s="8" t="n"/>
      <c r="H451" s="8" t="n"/>
      <c r="I451" s="8" t="n"/>
    </row>
    <row r="452">
      <c r="A452" s="8" t="n"/>
      <c r="B452" s="8" t="n"/>
      <c r="C452" s="8" t="n"/>
      <c r="D452" s="8" t="n"/>
      <c r="E452" s="8" t="n"/>
      <c r="F452" s="8" t="n"/>
      <c r="G452" s="8" t="n"/>
      <c r="H452" s="8" t="n"/>
      <c r="I452" s="8" t="n"/>
    </row>
    <row r="453">
      <c r="A453" s="8" t="n"/>
      <c r="B453" s="8" t="n"/>
      <c r="C453" s="8" t="n"/>
      <c r="D453" s="8" t="n"/>
      <c r="E453" s="8" t="n"/>
      <c r="F453" s="8" t="n"/>
      <c r="G453" s="8" t="n"/>
      <c r="H453" s="8" t="n"/>
      <c r="I453" s="8" t="n"/>
    </row>
    <row r="454">
      <c r="A454" s="8" t="n"/>
      <c r="B454" s="8" t="n"/>
      <c r="C454" s="8" t="n"/>
      <c r="D454" s="8" t="n"/>
      <c r="E454" s="8" t="n"/>
      <c r="F454" s="8" t="n"/>
      <c r="G454" s="8" t="n"/>
      <c r="H454" s="8" t="n"/>
      <c r="I454" s="8" t="n"/>
    </row>
    <row r="455">
      <c r="A455" s="8" t="n"/>
      <c r="B455" s="8" t="n"/>
      <c r="C455" s="8" t="n"/>
      <c r="D455" s="8" t="n"/>
      <c r="E455" s="8" t="n"/>
      <c r="F455" s="8" t="n"/>
      <c r="G455" s="8" t="n"/>
      <c r="H455" s="8" t="n"/>
      <c r="I455" s="8" t="n"/>
    </row>
    <row r="456">
      <c r="A456" s="8" t="n"/>
      <c r="B456" s="8" t="n"/>
      <c r="C456" s="8" t="n"/>
      <c r="D456" s="8" t="n"/>
      <c r="E456" s="8" t="n"/>
      <c r="F456" s="8" t="n"/>
      <c r="G456" s="8" t="n"/>
      <c r="H456" s="8" t="n"/>
      <c r="I456" s="8" t="n"/>
    </row>
    <row r="457">
      <c r="A457" s="8" t="n"/>
      <c r="B457" s="8" t="n"/>
      <c r="C457" s="8" t="n"/>
      <c r="D457" s="8" t="n"/>
      <c r="E457" s="8" t="n"/>
      <c r="F457" s="8" t="n"/>
      <c r="G457" s="8" t="n"/>
      <c r="H457" s="8" t="n"/>
      <c r="I457" s="8" t="n"/>
    </row>
    <row r="458">
      <c r="A458" s="8" t="n"/>
      <c r="B458" s="8" t="n"/>
      <c r="C458" s="8" t="n"/>
      <c r="D458" s="8" t="n"/>
      <c r="E458" s="8" t="n"/>
      <c r="F458" s="8" t="n"/>
      <c r="G458" s="8" t="n"/>
      <c r="H458" s="8" t="n"/>
      <c r="I458" s="8" t="n"/>
    </row>
    <row r="459">
      <c r="A459" s="8" t="n"/>
      <c r="B459" s="8" t="n"/>
      <c r="C459" s="8" t="n"/>
      <c r="D459" s="8" t="n"/>
      <c r="E459" s="8" t="n"/>
      <c r="F459" s="8" t="n"/>
      <c r="G459" s="8" t="n"/>
      <c r="H459" s="8" t="n"/>
      <c r="I459" s="8" t="n"/>
    </row>
    <row r="460">
      <c r="A460" s="8" t="n"/>
      <c r="B460" s="8" t="n"/>
      <c r="C460" s="8" t="n"/>
      <c r="D460" s="8" t="n"/>
      <c r="E460" s="8" t="n"/>
      <c r="F460" s="8" t="n"/>
      <c r="G460" s="8" t="n"/>
      <c r="H460" s="8" t="n"/>
      <c r="I460" s="8" t="n"/>
    </row>
    <row r="461">
      <c r="A461" s="8" t="n"/>
      <c r="B461" s="8" t="n"/>
      <c r="C461" s="8" t="n"/>
      <c r="D461" s="8" t="n"/>
      <c r="E461" s="8" t="n"/>
      <c r="F461" s="8" t="n"/>
      <c r="G461" s="8" t="n"/>
      <c r="H461" s="8" t="n"/>
      <c r="I461" s="8" t="n"/>
    </row>
    <row r="462">
      <c r="A462" s="8" t="n"/>
      <c r="B462" s="8" t="n"/>
      <c r="C462" s="8" t="n"/>
      <c r="D462" s="8" t="n"/>
      <c r="E462" s="8" t="n"/>
      <c r="F462" s="8" t="n"/>
      <c r="G462" s="8" t="n"/>
      <c r="H462" s="8" t="n"/>
      <c r="I462" s="8" t="n"/>
    </row>
    <row r="463">
      <c r="A463" s="8" t="n"/>
      <c r="B463" s="8" t="n"/>
      <c r="C463" s="8" t="n"/>
      <c r="D463" s="8" t="n"/>
      <c r="E463" s="8" t="n"/>
      <c r="F463" s="8" t="n"/>
      <c r="G463" s="8" t="n"/>
      <c r="H463" s="8" t="n"/>
      <c r="I463" s="8" t="n"/>
    </row>
    <row r="464">
      <c r="A464" s="8" t="n"/>
      <c r="B464" s="8" t="n"/>
      <c r="C464" s="8" t="n"/>
      <c r="D464" s="8" t="n"/>
      <c r="E464" s="8" t="n"/>
      <c r="F464" s="8" t="n"/>
      <c r="G464" s="8" t="n"/>
      <c r="H464" s="8" t="n"/>
      <c r="I464" s="8" t="n"/>
    </row>
    <row r="465">
      <c r="A465" s="8" t="n"/>
      <c r="B465" s="8" t="n"/>
      <c r="C465" s="8" t="n"/>
      <c r="D465" s="8" t="n"/>
      <c r="E465" s="8" t="n"/>
      <c r="F465" s="8" t="n"/>
      <c r="G465" s="8" t="n"/>
      <c r="H465" s="8" t="n"/>
      <c r="I465" s="8" t="n"/>
    </row>
    <row r="466">
      <c r="A466" s="8" t="n"/>
      <c r="B466" s="8" t="n"/>
      <c r="C466" s="8" t="n"/>
      <c r="D466" s="8" t="n"/>
      <c r="E466" s="8" t="n"/>
      <c r="F466" s="8" t="n"/>
      <c r="G466" s="8" t="n"/>
      <c r="H466" s="8" t="n"/>
      <c r="I466" s="8" t="n"/>
    </row>
    <row r="467">
      <c r="A467" s="8" t="n"/>
      <c r="B467" s="8" t="n"/>
      <c r="C467" s="8" t="n"/>
      <c r="D467" s="8" t="n"/>
      <c r="E467" s="8" t="n"/>
      <c r="F467" s="8" t="n"/>
      <c r="G467" s="8" t="n"/>
      <c r="H467" s="8" t="n"/>
      <c r="I467" s="8" t="n"/>
    </row>
    <row r="468">
      <c r="A468" s="8" t="n"/>
      <c r="B468" s="8" t="n"/>
      <c r="C468" s="8" t="n"/>
      <c r="D468" s="8" t="n"/>
      <c r="E468" s="8" t="n"/>
      <c r="F468" s="8" t="n"/>
      <c r="G468" s="8" t="n"/>
      <c r="H468" s="8" t="n"/>
      <c r="I468" s="8" t="n"/>
    </row>
    <row r="469">
      <c r="A469" s="8" t="n"/>
      <c r="B469" s="8" t="n"/>
      <c r="C469" s="8" t="n"/>
      <c r="D469" s="8" t="n"/>
      <c r="E469" s="8" t="n"/>
      <c r="F469" s="8" t="n"/>
      <c r="G469" s="8" t="n"/>
      <c r="H469" s="8" t="n"/>
      <c r="I469" s="8" t="n"/>
    </row>
    <row r="470">
      <c r="A470" s="8" t="n"/>
      <c r="B470" s="8" t="n"/>
      <c r="C470" s="8" t="n"/>
      <c r="D470" s="8" t="n"/>
      <c r="E470" s="8" t="n"/>
      <c r="F470" s="8" t="n"/>
      <c r="G470" s="8" t="n"/>
      <c r="H470" s="8" t="n"/>
      <c r="I470" s="8" t="n"/>
    </row>
    <row r="471">
      <c r="A471" s="8" t="n"/>
      <c r="B471" s="8" t="n"/>
      <c r="C471" s="8" t="n"/>
      <c r="D471" s="8" t="n"/>
      <c r="E471" s="8" t="n"/>
      <c r="F471" s="8" t="n"/>
      <c r="G471" s="8" t="n"/>
      <c r="H471" s="8" t="n"/>
      <c r="I471" s="8" t="n"/>
    </row>
    <row r="472">
      <c r="A472" s="8" t="n"/>
      <c r="B472" s="8" t="n"/>
      <c r="C472" s="8" t="n"/>
      <c r="D472" s="8" t="n"/>
      <c r="E472" s="8" t="n"/>
      <c r="F472" s="8" t="n"/>
      <c r="G472" s="8" t="n"/>
      <c r="H472" s="8" t="n"/>
      <c r="I472" s="8" t="n"/>
    </row>
    <row r="473">
      <c r="A473" s="8" t="n"/>
      <c r="B473" s="8" t="n"/>
      <c r="C473" s="8" t="n"/>
      <c r="D473" s="8" t="n"/>
      <c r="E473" s="8" t="n"/>
      <c r="F473" s="8" t="n"/>
      <c r="G473" s="8" t="n"/>
      <c r="H473" s="8" t="n"/>
      <c r="I473" s="8" t="n"/>
    </row>
    <row r="474">
      <c r="A474" s="8" t="n"/>
      <c r="B474" s="8" t="n"/>
      <c r="C474" s="8" t="n"/>
      <c r="D474" s="8" t="n"/>
      <c r="E474" s="8" t="n"/>
      <c r="F474" s="8" t="n"/>
      <c r="G474" s="8" t="n"/>
      <c r="H474" s="8" t="n"/>
      <c r="I474" s="8" t="n"/>
    </row>
    <row r="475">
      <c r="A475" s="8" t="n"/>
      <c r="B475" s="8" t="n"/>
      <c r="C475" s="8" t="n"/>
      <c r="D475" s="8" t="n"/>
      <c r="E475" s="8" t="n"/>
      <c r="F475" s="8" t="n"/>
      <c r="G475" s="8" t="n"/>
      <c r="H475" s="8" t="n"/>
      <c r="I475" s="8" t="n"/>
    </row>
    <row r="476">
      <c r="A476" s="8" t="n"/>
      <c r="B476" s="8" t="n"/>
      <c r="C476" s="8" t="n"/>
      <c r="D476" s="8" t="n"/>
      <c r="E476" s="8" t="n"/>
      <c r="F476" s="8" t="n"/>
      <c r="G476" s="8" t="n"/>
      <c r="H476" s="8" t="n"/>
      <c r="I476" s="8" t="n"/>
    </row>
    <row r="477">
      <c r="A477" s="8" t="n"/>
      <c r="B477" s="8" t="n"/>
      <c r="C477" s="8" t="n"/>
      <c r="D477" s="8" t="n"/>
      <c r="E477" s="8" t="n"/>
      <c r="F477" s="8" t="n"/>
      <c r="G477" s="8" t="n"/>
      <c r="H477" s="8" t="n"/>
      <c r="I477" s="8" t="n"/>
    </row>
    <row r="478">
      <c r="A478" s="8" t="n"/>
      <c r="B478" s="8" t="n"/>
      <c r="C478" s="8" t="n"/>
      <c r="D478" s="8" t="n"/>
      <c r="E478" s="8" t="n"/>
      <c r="F478" s="8" t="n"/>
      <c r="G478" s="8" t="n"/>
      <c r="H478" s="8" t="n"/>
      <c r="I478" s="8" t="n"/>
    </row>
    <row r="479">
      <c r="A479" s="8" t="n"/>
      <c r="B479" s="8" t="n"/>
      <c r="C479" s="8" t="n"/>
      <c r="D479" s="8" t="n"/>
      <c r="E479" s="8" t="n"/>
      <c r="F479" s="8" t="n"/>
      <c r="G479" s="8" t="n"/>
      <c r="H479" s="8" t="n"/>
      <c r="I479" s="8" t="n"/>
    </row>
    <row r="480">
      <c r="A480" s="8" t="n"/>
      <c r="B480" s="8" t="n"/>
      <c r="C480" s="8" t="n"/>
      <c r="D480" s="8" t="n"/>
      <c r="E480" s="8" t="n"/>
      <c r="F480" s="8" t="n"/>
      <c r="G480" s="8" t="n"/>
      <c r="H480" s="8" t="n"/>
      <c r="I480" s="8" t="n"/>
    </row>
    <row r="481">
      <c r="A481" s="8" t="n"/>
      <c r="B481" s="8" t="n"/>
      <c r="C481" s="8" t="n"/>
      <c r="D481" s="8" t="n"/>
      <c r="E481" s="8" t="n"/>
      <c r="F481" s="8" t="n"/>
      <c r="G481" s="8" t="n"/>
      <c r="H481" s="8" t="n"/>
      <c r="I481" s="8" t="n"/>
    </row>
    <row r="482">
      <c r="A482" s="8" t="n"/>
      <c r="B482" s="8" t="n"/>
      <c r="C482" s="8" t="n"/>
      <c r="D482" s="8" t="n"/>
      <c r="E482" s="8" t="n"/>
      <c r="F482" s="8" t="n"/>
      <c r="G482" s="8" t="n"/>
      <c r="H482" s="8" t="n"/>
      <c r="I482" s="8" t="n"/>
    </row>
    <row r="483">
      <c r="A483" s="8" t="n"/>
      <c r="B483" s="8" t="n"/>
      <c r="C483" s="8" t="n"/>
      <c r="D483" s="8" t="n"/>
      <c r="E483" s="8" t="n"/>
      <c r="F483" s="8" t="n"/>
      <c r="G483" s="8" t="n"/>
      <c r="H483" s="8" t="n"/>
      <c r="I483" s="8" t="n"/>
    </row>
    <row r="484">
      <c r="A484" s="8" t="n"/>
      <c r="B484" s="8" t="n"/>
      <c r="C484" s="8" t="n"/>
      <c r="D484" s="8" t="n"/>
      <c r="E484" s="8" t="n"/>
      <c r="F484" s="8" t="n"/>
      <c r="G484" s="8" t="n"/>
      <c r="H484" s="8" t="n"/>
      <c r="I484" s="8" t="n"/>
    </row>
    <row r="485">
      <c r="A485" s="8" t="n"/>
      <c r="B485" s="8" t="n"/>
      <c r="C485" s="8" t="n"/>
      <c r="D485" s="8" t="n"/>
      <c r="E485" s="8" t="n"/>
      <c r="F485" s="8" t="n"/>
      <c r="G485" s="8" t="n"/>
      <c r="H485" s="8" t="n"/>
      <c r="I485" s="8" t="n"/>
    </row>
    <row r="486">
      <c r="A486" s="8" t="n"/>
      <c r="B486" s="8" t="n"/>
      <c r="C486" s="8" t="n"/>
      <c r="D486" s="8" t="n"/>
      <c r="E486" s="8" t="n"/>
      <c r="F486" s="8" t="n"/>
      <c r="G486" s="8" t="n"/>
      <c r="H486" s="8" t="n"/>
      <c r="I486" s="8" t="n"/>
    </row>
    <row r="487">
      <c r="A487" s="8" t="n"/>
      <c r="B487" s="8" t="n"/>
      <c r="C487" s="8" t="n"/>
      <c r="D487" s="8" t="n"/>
      <c r="E487" s="8" t="n"/>
      <c r="F487" s="8" t="n"/>
      <c r="G487" s="8" t="n"/>
      <c r="H487" s="8" t="n"/>
      <c r="I487" s="8" t="n"/>
    </row>
    <row r="488">
      <c r="A488" s="8" t="n"/>
      <c r="B488" s="8" t="n"/>
      <c r="C488" s="8" t="n"/>
      <c r="D488" s="8" t="n"/>
      <c r="E488" s="8" t="n"/>
      <c r="F488" s="8" t="n"/>
      <c r="G488" s="8" t="n"/>
      <c r="H488" s="8" t="n"/>
      <c r="I488" s="8" t="n"/>
    </row>
    <row r="489">
      <c r="A489" s="8" t="n"/>
      <c r="B489" s="8" t="n"/>
      <c r="C489" s="8" t="n"/>
      <c r="D489" s="8" t="n"/>
      <c r="E489" s="8" t="n"/>
      <c r="F489" s="8" t="n"/>
      <c r="G489" s="8" t="n"/>
      <c r="H489" s="8" t="n"/>
      <c r="I489" s="8" t="n"/>
    </row>
    <row r="490">
      <c r="A490" s="8" t="n"/>
      <c r="B490" s="8" t="n"/>
      <c r="C490" s="8" t="n"/>
      <c r="D490" s="8" t="n"/>
      <c r="E490" s="8" t="n"/>
      <c r="F490" s="8" t="n"/>
      <c r="G490" s="8" t="n"/>
      <c r="H490" s="8" t="n"/>
      <c r="I490" s="8" t="n"/>
    </row>
    <row r="491">
      <c r="A491" s="8" t="n"/>
      <c r="B491" s="8" t="n"/>
      <c r="C491" s="8" t="n"/>
      <c r="D491" s="8" t="n"/>
      <c r="E491" s="8" t="n"/>
      <c r="F491" s="8" t="n"/>
      <c r="G491" s="8" t="n"/>
      <c r="H491" s="8" t="n"/>
      <c r="I491" s="8" t="n"/>
    </row>
    <row r="492">
      <c r="A492" s="8" t="n"/>
      <c r="B492" s="8" t="n"/>
      <c r="C492" s="8" t="n"/>
      <c r="D492" s="8" t="n"/>
      <c r="E492" s="8" t="n"/>
      <c r="F492" s="8" t="n"/>
      <c r="G492" s="8" t="n"/>
      <c r="H492" s="8" t="n"/>
      <c r="I492" s="8" t="n"/>
    </row>
    <row r="493">
      <c r="A493" s="8" t="n"/>
      <c r="B493" s="8" t="n"/>
      <c r="C493" s="8" t="n"/>
      <c r="D493" s="8" t="n"/>
      <c r="E493" s="8" t="n"/>
      <c r="F493" s="8" t="n"/>
      <c r="G493" s="8" t="n"/>
      <c r="H493" s="8" t="n"/>
      <c r="I493" s="8" t="n"/>
    </row>
    <row r="494">
      <c r="A494" s="8" t="n"/>
      <c r="B494" s="8" t="n"/>
      <c r="C494" s="8" t="n"/>
      <c r="D494" s="8" t="n"/>
      <c r="E494" s="8" t="n"/>
      <c r="F494" s="8" t="n"/>
      <c r="G494" s="8" t="n"/>
      <c r="H494" s="8" t="n"/>
      <c r="I494" s="8" t="n"/>
    </row>
    <row r="495">
      <c r="A495" s="8" t="n"/>
      <c r="B495" s="8" t="n"/>
      <c r="C495" s="8" t="n"/>
      <c r="D495" s="8" t="n"/>
      <c r="E495" s="8" t="n"/>
      <c r="F495" s="8" t="n"/>
      <c r="G495" s="8" t="n"/>
      <c r="H495" s="8" t="n"/>
      <c r="I495" s="8" t="n"/>
    </row>
    <row r="496">
      <c r="A496" s="8" t="n"/>
      <c r="B496" s="8" t="n"/>
      <c r="C496" s="8" t="n"/>
      <c r="D496" s="8" t="n"/>
      <c r="E496" s="8" t="n"/>
      <c r="F496" s="8" t="n"/>
      <c r="G496" s="8" t="n"/>
      <c r="H496" s="8" t="n"/>
      <c r="I496" s="8" t="n"/>
    </row>
    <row r="497">
      <c r="A497" s="8" t="n"/>
      <c r="B497" s="8" t="n"/>
      <c r="C497" s="8" t="n"/>
      <c r="D497" s="8" t="n"/>
      <c r="E497" s="8" t="n"/>
      <c r="F497" s="8" t="n"/>
      <c r="G497" s="8" t="n"/>
      <c r="H497" s="8" t="n"/>
      <c r="I497" s="8" t="n"/>
    </row>
    <row r="498">
      <c r="A498" s="8" t="n"/>
      <c r="B498" s="8" t="n"/>
      <c r="C498" s="8" t="n"/>
      <c r="D498" s="8" t="n"/>
      <c r="E498" s="8" t="n"/>
      <c r="F498" s="8" t="n"/>
      <c r="G498" s="8" t="n"/>
      <c r="H498" s="8" t="n"/>
      <c r="I498" s="8" t="n"/>
    </row>
    <row r="499">
      <c r="A499" s="8" t="n"/>
      <c r="B499" s="8" t="n"/>
      <c r="C499" s="8" t="n"/>
      <c r="D499" s="8" t="n"/>
      <c r="E499" s="8" t="n"/>
      <c r="F499" s="8" t="n"/>
      <c r="G499" s="8" t="n"/>
      <c r="H499" s="8" t="n"/>
      <c r="I499" s="8" t="n"/>
    </row>
    <row r="500">
      <c r="A500" s="8" t="n"/>
      <c r="B500" s="8" t="n"/>
      <c r="C500" s="8" t="n"/>
      <c r="D500" s="8" t="n"/>
      <c r="E500" s="8" t="n"/>
      <c r="F500" s="8" t="n"/>
      <c r="G500" s="8" t="n"/>
      <c r="H500" s="8" t="n"/>
      <c r="I500" s="8" t="n"/>
    </row>
    <row r="501">
      <c r="A501" s="8" t="n"/>
      <c r="B501" s="8" t="n"/>
      <c r="C501" s="8" t="n"/>
      <c r="D501" s="8" t="n"/>
      <c r="E501" s="8" t="n"/>
      <c r="F501" s="8" t="n"/>
      <c r="G501" s="8" t="n"/>
      <c r="H501" s="8" t="n"/>
      <c r="I501" s="8" t="n"/>
    </row>
    <row r="502">
      <c r="A502" s="8" t="n"/>
      <c r="B502" s="8" t="n"/>
      <c r="C502" s="8" t="n"/>
      <c r="D502" s="8" t="n"/>
      <c r="E502" s="8" t="n"/>
      <c r="F502" s="8" t="n"/>
      <c r="G502" s="8" t="n"/>
      <c r="H502" s="8" t="n"/>
      <c r="I502" s="8" t="n"/>
    </row>
    <row r="503">
      <c r="A503" s="8" t="n"/>
      <c r="B503" s="8" t="n"/>
      <c r="C503" s="8" t="n"/>
      <c r="D503" s="8" t="n"/>
      <c r="E503" s="8" t="n"/>
      <c r="F503" s="8" t="n"/>
      <c r="G503" s="8" t="n"/>
      <c r="H503" s="8" t="n"/>
      <c r="I503" s="8" t="n"/>
    </row>
    <row r="504">
      <c r="A504" s="8" t="n"/>
      <c r="B504" s="8" t="n"/>
      <c r="C504" s="8" t="n"/>
      <c r="D504" s="8" t="n"/>
      <c r="E504" s="8" t="n"/>
      <c r="F504" s="8" t="n"/>
      <c r="G504" s="8" t="n"/>
      <c r="H504" s="8" t="n"/>
      <c r="I504" s="8" t="n"/>
    </row>
    <row r="505">
      <c r="A505" s="8" t="n"/>
      <c r="B505" s="8" t="n"/>
      <c r="C505" s="8" t="n"/>
      <c r="D505" s="8" t="n"/>
      <c r="E505" s="8" t="n"/>
      <c r="F505" s="8" t="n"/>
      <c r="G505" s="8" t="n"/>
      <c r="H505" s="8" t="n"/>
      <c r="I505" s="8" t="n"/>
    </row>
    <row r="506">
      <c r="A506" s="8" t="n"/>
      <c r="B506" s="8" t="n"/>
      <c r="C506" s="8" t="n"/>
      <c r="D506" s="8" t="n"/>
      <c r="E506" s="8" t="n"/>
      <c r="F506" s="8" t="n"/>
      <c r="G506" s="8" t="n"/>
      <c r="H506" s="8" t="n"/>
      <c r="I506" s="8" t="n"/>
    </row>
    <row r="507">
      <c r="A507" s="8" t="n"/>
      <c r="B507" s="8" t="n"/>
      <c r="C507" s="8" t="n"/>
      <c r="D507" s="8" t="n"/>
      <c r="E507" s="8" t="n"/>
      <c r="F507" s="8" t="n"/>
      <c r="G507" s="8" t="n"/>
      <c r="H507" s="8" t="n"/>
      <c r="I507" s="8" t="n"/>
    </row>
    <row r="508">
      <c r="A508" s="8" t="n"/>
      <c r="B508" s="8" t="n"/>
      <c r="C508" s="8" t="n"/>
      <c r="D508" s="8" t="n"/>
      <c r="E508" s="8" t="n"/>
      <c r="F508" s="8" t="n"/>
      <c r="G508" s="8" t="n"/>
      <c r="H508" s="8" t="n"/>
      <c r="I508" s="8" t="n"/>
    </row>
  </sheetData>
  <mergeCells count="2">
    <mergeCell ref="A1:I1"/>
    <mergeCell ref="A2:I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 ht="28" customHeight="1">
      <c r="A1" s="1" t="inlineStr">
        <is>
          <t>DANE WYKRESÓW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</row>
    <row r="2" ht="18" customHeight="1">
      <c r="A2" s="3" t="inlineStr">
        <is>
          <t>Źródło dynamiczne — puste wiersze = #N/D, aby wykresy pomijały luki.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</row>
    <row r="8">
      <c r="A8" s="53" t="inlineStr">
        <is>
          <t>ETYKIETA</t>
        </is>
      </c>
      <c r="B8" s="53" t="inlineStr">
        <is>
          <t>ILOŚĆ ORYGINALNA</t>
        </is>
      </c>
      <c r="C8" s="53" t="inlineStr">
        <is>
          <t>ILOŚĆ WŁASNA</t>
        </is>
      </c>
      <c r="D8" s="53" t="inlineStr">
        <is>
          <t>ZMIANA %</t>
        </is>
      </c>
      <c r="E8" s="53" t="inlineStr">
        <is>
          <t>% SKŁAD WŁASNY</t>
        </is>
      </c>
      <c r="F8" s="53" t="inlineStr">
        <is>
          <t>STATUS</t>
        </is>
      </c>
      <c r="G8" s="53" t="inlineStr">
        <is>
          <t>ABS ZMIANA %</t>
        </is>
      </c>
      <c r="H8" s="54" t="inlineStr">
        <is>
          <t>STATUS</t>
        </is>
      </c>
      <c r="I8" s="54" t="inlineStr">
        <is>
          <t>LICZBA</t>
        </is>
      </c>
    </row>
    <row r="9">
      <c r="A9" s="14">
        <f>IF(RECEPTURA_WLASNA!C12="","",RECEPTURA_WLASNA!C12&amp;" ("&amp;RECEPTURA_WLASNA!B12&amp;")")</f>
        <v/>
      </c>
      <c r="B9" s="30">
        <f>IF(RECEPTURA_WLASNA!C12="",NA(),N(RECEPTURA_WLASNA!E12))</f>
        <v/>
      </c>
      <c r="C9" s="30">
        <f>IF(RECEPTURA_WLASNA!C12="",NA(),N(RECEPTURA_WLASNA!F12))</f>
        <v/>
      </c>
      <c r="D9" s="15">
        <f>IF(OR(RECEPTURA_WLASNA!C12="",RECEPTURA_WLASNA!H12=""),NA(),IF(ISNUMBER(RECEPTURA_WLASNA!H12),RECEPTURA_WLASNA!H12,NA()))</f>
        <v/>
      </c>
      <c r="E9" s="15">
        <f>IF(RECEPTURA_WLASNA!C12="",NA(),IF(N(RECEPTURA_WLASNA!F12)=0,NA(),RECEPTURA_WLASNA!J12))</f>
        <v/>
      </c>
      <c r="F9" s="14">
        <f>IF(RECEPTURA_WLASNA!C12="","",RECEPTURA_WLASNA!K12)</f>
        <v/>
      </c>
      <c r="G9" s="15">
        <f>IF(RECEPTURA_WLASNA!C12="",NA(),IF(ISNUMBER(RECEPTURA_WLASNA!H12),ABS(N(RECEPTURA_WLASNA!H12)),NA()))</f>
        <v/>
      </c>
      <c r="H9" s="14" t="inlineStr">
        <is>
          <t>BEZ ZMIAN</t>
        </is>
      </c>
      <c r="I9" s="14">
        <f>COUNTIF(RECEPTURA_WLASNA!K12:K51,H9)</f>
        <v/>
      </c>
    </row>
    <row r="10">
      <c r="A10" s="14">
        <f>IF(RECEPTURA_WLASNA!C13="","",RECEPTURA_WLASNA!C13&amp;" ("&amp;RECEPTURA_WLASNA!B13&amp;")")</f>
        <v/>
      </c>
      <c r="B10" s="30">
        <f>IF(RECEPTURA_WLASNA!C13="",NA(),N(RECEPTURA_WLASNA!E13))</f>
        <v/>
      </c>
      <c r="C10" s="30">
        <f>IF(RECEPTURA_WLASNA!C13="",NA(),N(RECEPTURA_WLASNA!F13))</f>
        <v/>
      </c>
      <c r="D10" s="15">
        <f>IF(OR(RECEPTURA_WLASNA!C13="",RECEPTURA_WLASNA!H13=""),NA(),IF(ISNUMBER(RECEPTURA_WLASNA!H13),RECEPTURA_WLASNA!H13,NA()))</f>
        <v/>
      </c>
      <c r="E10" s="15">
        <f>IF(RECEPTURA_WLASNA!C13="",NA(),IF(N(RECEPTURA_WLASNA!F13)=0,NA(),RECEPTURA_WLASNA!J13))</f>
        <v/>
      </c>
      <c r="F10" s="14">
        <f>IF(RECEPTURA_WLASNA!C13="","",RECEPTURA_WLASNA!K13)</f>
        <v/>
      </c>
      <c r="G10" s="15">
        <f>IF(RECEPTURA_WLASNA!C13="",NA(),IF(ISNUMBER(RECEPTURA_WLASNA!H13),ABS(N(RECEPTURA_WLASNA!H13)),NA()))</f>
        <v/>
      </c>
      <c r="H10" s="14" t="inlineStr">
        <is>
          <t>ZWIĘKSZONO</t>
        </is>
      </c>
      <c r="I10" s="14">
        <f>COUNTIF(RECEPTURA_WLASNA!K12:K51,H10)</f>
        <v/>
      </c>
    </row>
    <row r="11">
      <c r="A11" s="14">
        <f>IF(RECEPTURA_WLASNA!C14="","",RECEPTURA_WLASNA!C14&amp;" ("&amp;RECEPTURA_WLASNA!B14&amp;")")</f>
        <v/>
      </c>
      <c r="B11" s="30">
        <f>IF(RECEPTURA_WLASNA!C14="",NA(),N(RECEPTURA_WLASNA!E14))</f>
        <v/>
      </c>
      <c r="C11" s="30">
        <f>IF(RECEPTURA_WLASNA!C14="",NA(),N(RECEPTURA_WLASNA!F14))</f>
        <v/>
      </c>
      <c r="D11" s="15">
        <f>IF(OR(RECEPTURA_WLASNA!C14="",RECEPTURA_WLASNA!H14=""),NA(),IF(ISNUMBER(RECEPTURA_WLASNA!H14),RECEPTURA_WLASNA!H14,NA()))</f>
        <v/>
      </c>
      <c r="E11" s="15">
        <f>IF(RECEPTURA_WLASNA!C14="",NA(),IF(N(RECEPTURA_WLASNA!F14)=0,NA(),RECEPTURA_WLASNA!J14))</f>
        <v/>
      </c>
      <c r="F11" s="14">
        <f>IF(RECEPTURA_WLASNA!C14="","",RECEPTURA_WLASNA!K14)</f>
        <v/>
      </c>
      <c r="G11" s="15">
        <f>IF(RECEPTURA_WLASNA!C14="",NA(),IF(ISNUMBER(RECEPTURA_WLASNA!H14),ABS(N(RECEPTURA_WLASNA!H14)),NA()))</f>
        <v/>
      </c>
      <c r="H11" s="14" t="inlineStr">
        <is>
          <t>ZMNIEJSZONO</t>
        </is>
      </c>
      <c r="I11" s="14">
        <f>COUNTIF(RECEPTURA_WLASNA!K12:K51,H11)</f>
        <v/>
      </c>
    </row>
    <row r="12">
      <c r="A12" s="14">
        <f>IF(RECEPTURA_WLASNA!C15="","",RECEPTURA_WLASNA!C15&amp;" ("&amp;RECEPTURA_WLASNA!B15&amp;")")</f>
        <v/>
      </c>
      <c r="B12" s="30">
        <f>IF(RECEPTURA_WLASNA!C15="",NA(),N(RECEPTURA_WLASNA!E15))</f>
        <v/>
      </c>
      <c r="C12" s="30">
        <f>IF(RECEPTURA_WLASNA!C15="",NA(),N(RECEPTURA_WLASNA!F15))</f>
        <v/>
      </c>
      <c r="D12" s="15">
        <f>IF(OR(RECEPTURA_WLASNA!C15="",RECEPTURA_WLASNA!H15=""),NA(),IF(ISNUMBER(RECEPTURA_WLASNA!H15),RECEPTURA_WLASNA!H15,NA()))</f>
        <v/>
      </c>
      <c r="E12" s="15">
        <f>IF(RECEPTURA_WLASNA!C15="",NA(),IF(N(RECEPTURA_WLASNA!F15)=0,NA(),RECEPTURA_WLASNA!J15))</f>
        <v/>
      </c>
      <c r="F12" s="14">
        <f>IF(RECEPTURA_WLASNA!C15="","",RECEPTURA_WLASNA!K15)</f>
        <v/>
      </c>
      <c r="G12" s="15">
        <f>IF(RECEPTURA_WLASNA!C15="",NA(),IF(ISNUMBER(RECEPTURA_WLASNA!H15),ABS(N(RECEPTURA_WLASNA!H15)),NA()))</f>
        <v/>
      </c>
      <c r="H12" s="14" t="inlineStr">
        <is>
          <t>DODANO</t>
        </is>
      </c>
      <c r="I12" s="14">
        <f>COUNTIF(RECEPTURA_WLASNA!K12:K51,H12)</f>
        <v/>
      </c>
    </row>
    <row r="13">
      <c r="A13" s="14">
        <f>IF(RECEPTURA_WLASNA!C16="","",RECEPTURA_WLASNA!C16&amp;" ("&amp;RECEPTURA_WLASNA!B16&amp;")")</f>
        <v/>
      </c>
      <c r="B13" s="30">
        <f>IF(RECEPTURA_WLASNA!C16="",NA(),N(RECEPTURA_WLASNA!E16))</f>
        <v/>
      </c>
      <c r="C13" s="30">
        <f>IF(RECEPTURA_WLASNA!C16="",NA(),N(RECEPTURA_WLASNA!F16))</f>
        <v/>
      </c>
      <c r="D13" s="15">
        <f>IF(OR(RECEPTURA_WLASNA!C16="",RECEPTURA_WLASNA!H16=""),NA(),IF(ISNUMBER(RECEPTURA_WLASNA!H16),RECEPTURA_WLASNA!H16,NA()))</f>
        <v/>
      </c>
      <c r="E13" s="15">
        <f>IF(RECEPTURA_WLASNA!C16="",NA(),IF(N(RECEPTURA_WLASNA!F16)=0,NA(),RECEPTURA_WLASNA!J16))</f>
        <v/>
      </c>
      <c r="F13" s="14">
        <f>IF(RECEPTURA_WLASNA!C16="","",RECEPTURA_WLASNA!K16)</f>
        <v/>
      </c>
      <c r="G13" s="15">
        <f>IF(RECEPTURA_WLASNA!C16="",NA(),IF(ISNUMBER(RECEPTURA_WLASNA!H16),ABS(N(RECEPTURA_WLASNA!H16)),NA()))</f>
        <v/>
      </c>
      <c r="H13" s="14" t="inlineStr">
        <is>
          <t>USUNIĘTO</t>
        </is>
      </c>
      <c r="I13" s="14">
        <f>COUNTIF(RECEPTURA_WLASNA!K12:K51,H13)</f>
        <v/>
      </c>
    </row>
    <row r="14">
      <c r="A14" s="14">
        <f>IF(RECEPTURA_WLASNA!C17="","",RECEPTURA_WLASNA!C17&amp;" ("&amp;RECEPTURA_WLASNA!B17&amp;")")</f>
        <v/>
      </c>
      <c r="B14" s="30">
        <f>IF(RECEPTURA_WLASNA!C17="",NA(),N(RECEPTURA_WLASNA!E17))</f>
        <v/>
      </c>
      <c r="C14" s="30">
        <f>IF(RECEPTURA_WLASNA!C17="",NA(),N(RECEPTURA_WLASNA!F17))</f>
        <v/>
      </c>
      <c r="D14" s="15">
        <f>IF(OR(RECEPTURA_WLASNA!C17="",RECEPTURA_WLASNA!H17=""),NA(),IF(ISNUMBER(RECEPTURA_WLASNA!H17),RECEPTURA_WLASNA!H17,NA()))</f>
        <v/>
      </c>
      <c r="E14" s="15">
        <f>IF(RECEPTURA_WLASNA!C17="",NA(),IF(N(RECEPTURA_WLASNA!F17)=0,NA(),RECEPTURA_WLASNA!J17))</f>
        <v/>
      </c>
      <c r="F14" s="14">
        <f>IF(RECEPTURA_WLASNA!C17="","",RECEPTURA_WLASNA!K17)</f>
        <v/>
      </c>
      <c r="G14" s="15">
        <f>IF(RECEPTURA_WLASNA!C17="",NA(),IF(ISNUMBER(RECEPTURA_WLASNA!H17),ABS(N(RECEPTURA_WLASNA!H17)),NA()))</f>
        <v/>
      </c>
    </row>
    <row r="15">
      <c r="A15" s="14">
        <f>IF(RECEPTURA_WLASNA!C18="","",RECEPTURA_WLASNA!C18&amp;" ("&amp;RECEPTURA_WLASNA!B18&amp;")")</f>
        <v/>
      </c>
      <c r="B15" s="30">
        <f>IF(RECEPTURA_WLASNA!C18="",NA(),N(RECEPTURA_WLASNA!E18))</f>
        <v/>
      </c>
      <c r="C15" s="30">
        <f>IF(RECEPTURA_WLASNA!C18="",NA(),N(RECEPTURA_WLASNA!F18))</f>
        <v/>
      </c>
      <c r="D15" s="15">
        <f>IF(OR(RECEPTURA_WLASNA!C18="",RECEPTURA_WLASNA!H18=""),NA(),IF(ISNUMBER(RECEPTURA_WLASNA!H18),RECEPTURA_WLASNA!H18,NA()))</f>
        <v/>
      </c>
      <c r="E15" s="15">
        <f>IF(RECEPTURA_WLASNA!C18="",NA(),IF(N(RECEPTURA_WLASNA!F18)=0,NA(),RECEPTURA_WLASNA!J18))</f>
        <v/>
      </c>
      <c r="F15" s="14">
        <f>IF(RECEPTURA_WLASNA!C18="","",RECEPTURA_WLASNA!K18)</f>
        <v/>
      </c>
      <c r="G15" s="15">
        <f>IF(RECEPTURA_WLASNA!C18="",NA(),IF(ISNUMBER(RECEPTURA_WLASNA!H18),ABS(N(RECEPTURA_WLASNA!H18)),NA()))</f>
        <v/>
      </c>
    </row>
    <row r="16">
      <c r="A16" s="14">
        <f>IF(RECEPTURA_WLASNA!C19="","",RECEPTURA_WLASNA!C19&amp;" ("&amp;RECEPTURA_WLASNA!B19&amp;")")</f>
        <v/>
      </c>
      <c r="B16" s="30">
        <f>IF(RECEPTURA_WLASNA!C19="",NA(),N(RECEPTURA_WLASNA!E19))</f>
        <v/>
      </c>
      <c r="C16" s="30">
        <f>IF(RECEPTURA_WLASNA!C19="",NA(),N(RECEPTURA_WLASNA!F19))</f>
        <v/>
      </c>
      <c r="D16" s="15">
        <f>IF(OR(RECEPTURA_WLASNA!C19="",RECEPTURA_WLASNA!H19=""),NA(),IF(ISNUMBER(RECEPTURA_WLASNA!H19),RECEPTURA_WLASNA!H19,NA()))</f>
        <v/>
      </c>
      <c r="E16" s="15">
        <f>IF(RECEPTURA_WLASNA!C19="",NA(),IF(N(RECEPTURA_WLASNA!F19)=0,NA(),RECEPTURA_WLASNA!J19))</f>
        <v/>
      </c>
      <c r="F16" s="14">
        <f>IF(RECEPTURA_WLASNA!C19="","",RECEPTURA_WLASNA!K19)</f>
        <v/>
      </c>
      <c r="G16" s="15">
        <f>IF(RECEPTURA_WLASNA!C19="",NA(),IF(ISNUMBER(RECEPTURA_WLASNA!H19),ABS(N(RECEPTURA_WLASNA!H19)),NA()))</f>
        <v/>
      </c>
    </row>
    <row r="17">
      <c r="A17" s="14">
        <f>IF(RECEPTURA_WLASNA!C20="","",RECEPTURA_WLASNA!C20&amp;" ("&amp;RECEPTURA_WLASNA!B20&amp;")")</f>
        <v/>
      </c>
      <c r="B17" s="30">
        <f>IF(RECEPTURA_WLASNA!C20="",NA(),N(RECEPTURA_WLASNA!E20))</f>
        <v/>
      </c>
      <c r="C17" s="30">
        <f>IF(RECEPTURA_WLASNA!C20="",NA(),N(RECEPTURA_WLASNA!F20))</f>
        <v/>
      </c>
      <c r="D17" s="15">
        <f>IF(OR(RECEPTURA_WLASNA!C20="",RECEPTURA_WLASNA!H20=""),NA(),IF(ISNUMBER(RECEPTURA_WLASNA!H20),RECEPTURA_WLASNA!H20,NA()))</f>
        <v/>
      </c>
      <c r="E17" s="15">
        <f>IF(RECEPTURA_WLASNA!C20="",NA(),IF(N(RECEPTURA_WLASNA!F20)=0,NA(),RECEPTURA_WLASNA!J20))</f>
        <v/>
      </c>
      <c r="F17" s="14">
        <f>IF(RECEPTURA_WLASNA!C20="","",RECEPTURA_WLASNA!K20)</f>
        <v/>
      </c>
      <c r="G17" s="15">
        <f>IF(RECEPTURA_WLASNA!C20="",NA(),IF(ISNUMBER(RECEPTURA_WLASNA!H20),ABS(N(RECEPTURA_WLASNA!H20)),NA()))</f>
        <v/>
      </c>
    </row>
    <row r="18">
      <c r="A18" s="14">
        <f>IF(RECEPTURA_WLASNA!C21="","",RECEPTURA_WLASNA!C21&amp;" ("&amp;RECEPTURA_WLASNA!B21&amp;")")</f>
        <v/>
      </c>
      <c r="B18" s="30">
        <f>IF(RECEPTURA_WLASNA!C21="",NA(),N(RECEPTURA_WLASNA!E21))</f>
        <v/>
      </c>
      <c r="C18" s="30">
        <f>IF(RECEPTURA_WLASNA!C21="",NA(),N(RECEPTURA_WLASNA!F21))</f>
        <v/>
      </c>
      <c r="D18" s="15">
        <f>IF(OR(RECEPTURA_WLASNA!C21="",RECEPTURA_WLASNA!H21=""),NA(),IF(ISNUMBER(RECEPTURA_WLASNA!H21),RECEPTURA_WLASNA!H21,NA()))</f>
        <v/>
      </c>
      <c r="E18" s="15">
        <f>IF(RECEPTURA_WLASNA!C21="",NA(),IF(N(RECEPTURA_WLASNA!F21)=0,NA(),RECEPTURA_WLASNA!J21))</f>
        <v/>
      </c>
      <c r="F18" s="14">
        <f>IF(RECEPTURA_WLASNA!C21="","",RECEPTURA_WLASNA!K21)</f>
        <v/>
      </c>
      <c r="G18" s="15">
        <f>IF(RECEPTURA_WLASNA!C21="",NA(),IF(ISNUMBER(RECEPTURA_WLASNA!H21),ABS(N(RECEPTURA_WLASNA!H21)),NA()))</f>
        <v/>
      </c>
    </row>
    <row r="19">
      <c r="A19" s="14">
        <f>IF(RECEPTURA_WLASNA!C22="","",RECEPTURA_WLASNA!C22&amp;" ("&amp;RECEPTURA_WLASNA!B22&amp;")")</f>
        <v/>
      </c>
      <c r="B19" s="30">
        <f>IF(RECEPTURA_WLASNA!C22="",NA(),N(RECEPTURA_WLASNA!E22))</f>
        <v/>
      </c>
      <c r="C19" s="30">
        <f>IF(RECEPTURA_WLASNA!C22="",NA(),N(RECEPTURA_WLASNA!F22))</f>
        <v/>
      </c>
      <c r="D19" s="15">
        <f>IF(OR(RECEPTURA_WLASNA!C22="",RECEPTURA_WLASNA!H22=""),NA(),IF(ISNUMBER(RECEPTURA_WLASNA!H22),RECEPTURA_WLASNA!H22,NA()))</f>
        <v/>
      </c>
      <c r="E19" s="15">
        <f>IF(RECEPTURA_WLASNA!C22="",NA(),IF(N(RECEPTURA_WLASNA!F22)=0,NA(),RECEPTURA_WLASNA!J22))</f>
        <v/>
      </c>
      <c r="F19" s="14">
        <f>IF(RECEPTURA_WLASNA!C22="","",RECEPTURA_WLASNA!K22)</f>
        <v/>
      </c>
      <c r="G19" s="15">
        <f>IF(RECEPTURA_WLASNA!C22="",NA(),IF(ISNUMBER(RECEPTURA_WLASNA!H22),ABS(N(RECEPTURA_WLASNA!H22)),NA()))</f>
        <v/>
      </c>
    </row>
    <row r="20">
      <c r="A20" s="14">
        <f>IF(RECEPTURA_WLASNA!C23="","",RECEPTURA_WLASNA!C23&amp;" ("&amp;RECEPTURA_WLASNA!B23&amp;")")</f>
        <v/>
      </c>
      <c r="B20" s="30">
        <f>IF(RECEPTURA_WLASNA!C23="",NA(),N(RECEPTURA_WLASNA!E23))</f>
        <v/>
      </c>
      <c r="C20" s="30">
        <f>IF(RECEPTURA_WLASNA!C23="",NA(),N(RECEPTURA_WLASNA!F23))</f>
        <v/>
      </c>
      <c r="D20" s="15">
        <f>IF(OR(RECEPTURA_WLASNA!C23="",RECEPTURA_WLASNA!H23=""),NA(),IF(ISNUMBER(RECEPTURA_WLASNA!H23),RECEPTURA_WLASNA!H23,NA()))</f>
        <v/>
      </c>
      <c r="E20" s="15">
        <f>IF(RECEPTURA_WLASNA!C23="",NA(),IF(N(RECEPTURA_WLASNA!F23)=0,NA(),RECEPTURA_WLASNA!J23))</f>
        <v/>
      </c>
      <c r="F20" s="14">
        <f>IF(RECEPTURA_WLASNA!C23="","",RECEPTURA_WLASNA!K23)</f>
        <v/>
      </c>
      <c r="G20" s="15">
        <f>IF(RECEPTURA_WLASNA!C23="",NA(),IF(ISNUMBER(RECEPTURA_WLASNA!H23),ABS(N(RECEPTURA_WLASNA!H23)),NA()))</f>
        <v/>
      </c>
    </row>
    <row r="21">
      <c r="A21" s="14">
        <f>IF(RECEPTURA_WLASNA!C24="","",RECEPTURA_WLASNA!C24&amp;" ("&amp;RECEPTURA_WLASNA!B24&amp;")")</f>
        <v/>
      </c>
      <c r="B21" s="30">
        <f>IF(RECEPTURA_WLASNA!C24="",NA(),N(RECEPTURA_WLASNA!E24))</f>
        <v/>
      </c>
      <c r="C21" s="30">
        <f>IF(RECEPTURA_WLASNA!C24="",NA(),N(RECEPTURA_WLASNA!F24))</f>
        <v/>
      </c>
      <c r="D21" s="15">
        <f>IF(OR(RECEPTURA_WLASNA!C24="",RECEPTURA_WLASNA!H24=""),NA(),IF(ISNUMBER(RECEPTURA_WLASNA!H24),RECEPTURA_WLASNA!H24,NA()))</f>
        <v/>
      </c>
      <c r="E21" s="15">
        <f>IF(RECEPTURA_WLASNA!C24="",NA(),IF(N(RECEPTURA_WLASNA!F24)=0,NA(),RECEPTURA_WLASNA!J24))</f>
        <v/>
      </c>
      <c r="F21" s="14">
        <f>IF(RECEPTURA_WLASNA!C24="","",RECEPTURA_WLASNA!K24)</f>
        <v/>
      </c>
      <c r="G21" s="15">
        <f>IF(RECEPTURA_WLASNA!C24="",NA(),IF(ISNUMBER(RECEPTURA_WLASNA!H24),ABS(N(RECEPTURA_WLASNA!H24)),NA()))</f>
        <v/>
      </c>
    </row>
    <row r="22">
      <c r="A22" s="14">
        <f>IF(RECEPTURA_WLASNA!C25="","",RECEPTURA_WLASNA!C25&amp;" ("&amp;RECEPTURA_WLASNA!B25&amp;")")</f>
        <v/>
      </c>
      <c r="B22" s="30">
        <f>IF(RECEPTURA_WLASNA!C25="",NA(),N(RECEPTURA_WLASNA!E25))</f>
        <v/>
      </c>
      <c r="C22" s="30">
        <f>IF(RECEPTURA_WLASNA!C25="",NA(),N(RECEPTURA_WLASNA!F25))</f>
        <v/>
      </c>
      <c r="D22" s="15">
        <f>IF(OR(RECEPTURA_WLASNA!C25="",RECEPTURA_WLASNA!H25=""),NA(),IF(ISNUMBER(RECEPTURA_WLASNA!H25),RECEPTURA_WLASNA!H25,NA()))</f>
        <v/>
      </c>
      <c r="E22" s="15">
        <f>IF(RECEPTURA_WLASNA!C25="",NA(),IF(N(RECEPTURA_WLASNA!F25)=0,NA(),RECEPTURA_WLASNA!J25))</f>
        <v/>
      </c>
      <c r="F22" s="14">
        <f>IF(RECEPTURA_WLASNA!C25="","",RECEPTURA_WLASNA!K25)</f>
        <v/>
      </c>
      <c r="G22" s="15">
        <f>IF(RECEPTURA_WLASNA!C25="",NA(),IF(ISNUMBER(RECEPTURA_WLASNA!H25),ABS(N(RECEPTURA_WLASNA!H25)),NA()))</f>
        <v/>
      </c>
    </row>
    <row r="23">
      <c r="A23" s="14">
        <f>IF(RECEPTURA_WLASNA!C26="","",RECEPTURA_WLASNA!C26&amp;" ("&amp;RECEPTURA_WLASNA!B26&amp;")")</f>
        <v/>
      </c>
      <c r="B23" s="30">
        <f>IF(RECEPTURA_WLASNA!C26="",NA(),N(RECEPTURA_WLASNA!E26))</f>
        <v/>
      </c>
      <c r="C23" s="30">
        <f>IF(RECEPTURA_WLASNA!C26="",NA(),N(RECEPTURA_WLASNA!F26))</f>
        <v/>
      </c>
      <c r="D23" s="15">
        <f>IF(OR(RECEPTURA_WLASNA!C26="",RECEPTURA_WLASNA!H26=""),NA(),IF(ISNUMBER(RECEPTURA_WLASNA!H26),RECEPTURA_WLASNA!H26,NA()))</f>
        <v/>
      </c>
      <c r="E23" s="15">
        <f>IF(RECEPTURA_WLASNA!C26="",NA(),IF(N(RECEPTURA_WLASNA!F26)=0,NA(),RECEPTURA_WLASNA!J26))</f>
        <v/>
      </c>
      <c r="F23" s="14">
        <f>IF(RECEPTURA_WLASNA!C26="","",RECEPTURA_WLASNA!K26)</f>
        <v/>
      </c>
      <c r="G23" s="15">
        <f>IF(RECEPTURA_WLASNA!C26="",NA(),IF(ISNUMBER(RECEPTURA_WLASNA!H26),ABS(N(RECEPTURA_WLASNA!H26)),NA()))</f>
        <v/>
      </c>
    </row>
    <row r="24">
      <c r="A24" s="14">
        <f>IF(RECEPTURA_WLASNA!C27="","",RECEPTURA_WLASNA!C27&amp;" ("&amp;RECEPTURA_WLASNA!B27&amp;")")</f>
        <v/>
      </c>
      <c r="B24" s="30">
        <f>IF(RECEPTURA_WLASNA!C27="",NA(),N(RECEPTURA_WLASNA!E27))</f>
        <v/>
      </c>
      <c r="C24" s="30">
        <f>IF(RECEPTURA_WLASNA!C27="",NA(),N(RECEPTURA_WLASNA!F27))</f>
        <v/>
      </c>
      <c r="D24" s="15">
        <f>IF(OR(RECEPTURA_WLASNA!C27="",RECEPTURA_WLASNA!H27=""),NA(),IF(ISNUMBER(RECEPTURA_WLASNA!H27),RECEPTURA_WLASNA!H27,NA()))</f>
        <v/>
      </c>
      <c r="E24" s="15">
        <f>IF(RECEPTURA_WLASNA!C27="",NA(),IF(N(RECEPTURA_WLASNA!F27)=0,NA(),RECEPTURA_WLASNA!J27))</f>
        <v/>
      </c>
      <c r="F24" s="14">
        <f>IF(RECEPTURA_WLASNA!C27="","",RECEPTURA_WLASNA!K27)</f>
        <v/>
      </c>
      <c r="G24" s="15">
        <f>IF(RECEPTURA_WLASNA!C27="",NA(),IF(ISNUMBER(RECEPTURA_WLASNA!H27),ABS(N(RECEPTURA_WLASNA!H27)),NA()))</f>
        <v/>
      </c>
    </row>
    <row r="25">
      <c r="A25" s="14">
        <f>IF(RECEPTURA_WLASNA!C28="","",RECEPTURA_WLASNA!C28&amp;" ("&amp;RECEPTURA_WLASNA!B28&amp;")")</f>
        <v/>
      </c>
      <c r="B25" s="30">
        <f>IF(RECEPTURA_WLASNA!C28="",NA(),N(RECEPTURA_WLASNA!E28))</f>
        <v/>
      </c>
      <c r="C25" s="30">
        <f>IF(RECEPTURA_WLASNA!C28="",NA(),N(RECEPTURA_WLASNA!F28))</f>
        <v/>
      </c>
      <c r="D25" s="15">
        <f>IF(OR(RECEPTURA_WLASNA!C28="",RECEPTURA_WLASNA!H28=""),NA(),IF(ISNUMBER(RECEPTURA_WLASNA!H28),RECEPTURA_WLASNA!H28,NA()))</f>
        <v/>
      </c>
      <c r="E25" s="15">
        <f>IF(RECEPTURA_WLASNA!C28="",NA(),IF(N(RECEPTURA_WLASNA!F28)=0,NA(),RECEPTURA_WLASNA!J28))</f>
        <v/>
      </c>
      <c r="F25" s="14">
        <f>IF(RECEPTURA_WLASNA!C28="","",RECEPTURA_WLASNA!K28)</f>
        <v/>
      </c>
      <c r="G25" s="15">
        <f>IF(RECEPTURA_WLASNA!C28="",NA(),IF(ISNUMBER(RECEPTURA_WLASNA!H28),ABS(N(RECEPTURA_WLASNA!H28)),NA()))</f>
        <v/>
      </c>
    </row>
    <row r="26">
      <c r="A26" s="14">
        <f>IF(RECEPTURA_WLASNA!C29="","",RECEPTURA_WLASNA!C29&amp;" ("&amp;RECEPTURA_WLASNA!B29&amp;")")</f>
        <v/>
      </c>
      <c r="B26" s="30">
        <f>IF(RECEPTURA_WLASNA!C29="",NA(),N(RECEPTURA_WLASNA!E29))</f>
        <v/>
      </c>
      <c r="C26" s="30">
        <f>IF(RECEPTURA_WLASNA!C29="",NA(),N(RECEPTURA_WLASNA!F29))</f>
        <v/>
      </c>
      <c r="D26" s="15">
        <f>IF(OR(RECEPTURA_WLASNA!C29="",RECEPTURA_WLASNA!H29=""),NA(),IF(ISNUMBER(RECEPTURA_WLASNA!H29),RECEPTURA_WLASNA!H29,NA()))</f>
        <v/>
      </c>
      <c r="E26" s="15">
        <f>IF(RECEPTURA_WLASNA!C29="",NA(),IF(N(RECEPTURA_WLASNA!F29)=0,NA(),RECEPTURA_WLASNA!J29))</f>
        <v/>
      </c>
      <c r="F26" s="14">
        <f>IF(RECEPTURA_WLASNA!C29="","",RECEPTURA_WLASNA!K29)</f>
        <v/>
      </c>
      <c r="G26" s="15">
        <f>IF(RECEPTURA_WLASNA!C29="",NA(),IF(ISNUMBER(RECEPTURA_WLASNA!H29),ABS(N(RECEPTURA_WLASNA!H29)),NA()))</f>
        <v/>
      </c>
    </row>
    <row r="27">
      <c r="A27" s="14">
        <f>IF(RECEPTURA_WLASNA!C30="","",RECEPTURA_WLASNA!C30&amp;" ("&amp;RECEPTURA_WLASNA!B30&amp;")")</f>
        <v/>
      </c>
      <c r="B27" s="30">
        <f>IF(RECEPTURA_WLASNA!C30="",NA(),N(RECEPTURA_WLASNA!E30))</f>
        <v/>
      </c>
      <c r="C27" s="30">
        <f>IF(RECEPTURA_WLASNA!C30="",NA(),N(RECEPTURA_WLASNA!F30))</f>
        <v/>
      </c>
      <c r="D27" s="15">
        <f>IF(OR(RECEPTURA_WLASNA!C30="",RECEPTURA_WLASNA!H30=""),NA(),IF(ISNUMBER(RECEPTURA_WLASNA!H30),RECEPTURA_WLASNA!H30,NA()))</f>
        <v/>
      </c>
      <c r="E27" s="15">
        <f>IF(RECEPTURA_WLASNA!C30="",NA(),IF(N(RECEPTURA_WLASNA!F30)=0,NA(),RECEPTURA_WLASNA!J30))</f>
        <v/>
      </c>
      <c r="F27" s="14">
        <f>IF(RECEPTURA_WLASNA!C30="","",RECEPTURA_WLASNA!K30)</f>
        <v/>
      </c>
      <c r="G27" s="15">
        <f>IF(RECEPTURA_WLASNA!C30="",NA(),IF(ISNUMBER(RECEPTURA_WLASNA!H30),ABS(N(RECEPTURA_WLASNA!H30)),NA()))</f>
        <v/>
      </c>
    </row>
    <row r="28">
      <c r="A28" s="14">
        <f>IF(RECEPTURA_WLASNA!C31="","",RECEPTURA_WLASNA!C31&amp;" ("&amp;RECEPTURA_WLASNA!B31&amp;")")</f>
        <v/>
      </c>
      <c r="B28" s="30">
        <f>IF(RECEPTURA_WLASNA!C31="",NA(),N(RECEPTURA_WLASNA!E31))</f>
        <v/>
      </c>
      <c r="C28" s="30">
        <f>IF(RECEPTURA_WLASNA!C31="",NA(),N(RECEPTURA_WLASNA!F31))</f>
        <v/>
      </c>
      <c r="D28" s="15">
        <f>IF(OR(RECEPTURA_WLASNA!C31="",RECEPTURA_WLASNA!H31=""),NA(),IF(ISNUMBER(RECEPTURA_WLASNA!H31),RECEPTURA_WLASNA!H31,NA()))</f>
        <v/>
      </c>
      <c r="E28" s="15">
        <f>IF(RECEPTURA_WLASNA!C31="",NA(),IF(N(RECEPTURA_WLASNA!F31)=0,NA(),RECEPTURA_WLASNA!J31))</f>
        <v/>
      </c>
      <c r="F28" s="14">
        <f>IF(RECEPTURA_WLASNA!C31="","",RECEPTURA_WLASNA!K31)</f>
        <v/>
      </c>
      <c r="G28" s="15">
        <f>IF(RECEPTURA_WLASNA!C31="",NA(),IF(ISNUMBER(RECEPTURA_WLASNA!H31),ABS(N(RECEPTURA_WLASNA!H31)),NA()))</f>
        <v/>
      </c>
    </row>
    <row r="29">
      <c r="A29" s="14">
        <f>IF(RECEPTURA_WLASNA!C32="","",RECEPTURA_WLASNA!C32&amp;" ("&amp;RECEPTURA_WLASNA!B32&amp;")")</f>
        <v/>
      </c>
      <c r="B29" s="30">
        <f>IF(RECEPTURA_WLASNA!C32="",NA(),N(RECEPTURA_WLASNA!E32))</f>
        <v/>
      </c>
      <c r="C29" s="30">
        <f>IF(RECEPTURA_WLASNA!C32="",NA(),N(RECEPTURA_WLASNA!F32))</f>
        <v/>
      </c>
      <c r="D29" s="15">
        <f>IF(OR(RECEPTURA_WLASNA!C32="",RECEPTURA_WLASNA!H32=""),NA(),IF(ISNUMBER(RECEPTURA_WLASNA!H32),RECEPTURA_WLASNA!H32,NA()))</f>
        <v/>
      </c>
      <c r="E29" s="15">
        <f>IF(RECEPTURA_WLASNA!C32="",NA(),IF(N(RECEPTURA_WLASNA!F32)=0,NA(),RECEPTURA_WLASNA!J32))</f>
        <v/>
      </c>
      <c r="F29" s="14">
        <f>IF(RECEPTURA_WLASNA!C32="","",RECEPTURA_WLASNA!K32)</f>
        <v/>
      </c>
      <c r="G29" s="15">
        <f>IF(RECEPTURA_WLASNA!C32="",NA(),IF(ISNUMBER(RECEPTURA_WLASNA!H32),ABS(N(RECEPTURA_WLASNA!H32)),NA()))</f>
        <v/>
      </c>
    </row>
    <row r="30">
      <c r="A30" s="14">
        <f>IF(RECEPTURA_WLASNA!C33="","",RECEPTURA_WLASNA!C33&amp;" ("&amp;RECEPTURA_WLASNA!B33&amp;")")</f>
        <v/>
      </c>
      <c r="B30" s="30">
        <f>IF(RECEPTURA_WLASNA!C33="",NA(),N(RECEPTURA_WLASNA!E33))</f>
        <v/>
      </c>
      <c r="C30" s="30">
        <f>IF(RECEPTURA_WLASNA!C33="",NA(),N(RECEPTURA_WLASNA!F33))</f>
        <v/>
      </c>
      <c r="D30" s="15">
        <f>IF(OR(RECEPTURA_WLASNA!C33="",RECEPTURA_WLASNA!H33=""),NA(),IF(ISNUMBER(RECEPTURA_WLASNA!H33),RECEPTURA_WLASNA!H33,NA()))</f>
        <v/>
      </c>
      <c r="E30" s="15">
        <f>IF(RECEPTURA_WLASNA!C33="",NA(),IF(N(RECEPTURA_WLASNA!F33)=0,NA(),RECEPTURA_WLASNA!J33))</f>
        <v/>
      </c>
      <c r="F30" s="14">
        <f>IF(RECEPTURA_WLASNA!C33="","",RECEPTURA_WLASNA!K33)</f>
        <v/>
      </c>
      <c r="G30" s="15">
        <f>IF(RECEPTURA_WLASNA!C33="",NA(),IF(ISNUMBER(RECEPTURA_WLASNA!H33),ABS(N(RECEPTURA_WLASNA!H33)),NA()))</f>
        <v/>
      </c>
    </row>
    <row r="31">
      <c r="A31" s="14">
        <f>IF(RECEPTURA_WLASNA!C34="","",RECEPTURA_WLASNA!C34&amp;" ("&amp;RECEPTURA_WLASNA!B34&amp;")")</f>
        <v/>
      </c>
      <c r="B31" s="30">
        <f>IF(RECEPTURA_WLASNA!C34="",NA(),N(RECEPTURA_WLASNA!E34))</f>
        <v/>
      </c>
      <c r="C31" s="30">
        <f>IF(RECEPTURA_WLASNA!C34="",NA(),N(RECEPTURA_WLASNA!F34))</f>
        <v/>
      </c>
      <c r="D31" s="15">
        <f>IF(OR(RECEPTURA_WLASNA!C34="",RECEPTURA_WLASNA!H34=""),NA(),IF(ISNUMBER(RECEPTURA_WLASNA!H34),RECEPTURA_WLASNA!H34,NA()))</f>
        <v/>
      </c>
      <c r="E31" s="15">
        <f>IF(RECEPTURA_WLASNA!C34="",NA(),IF(N(RECEPTURA_WLASNA!F34)=0,NA(),RECEPTURA_WLASNA!J34))</f>
        <v/>
      </c>
      <c r="F31" s="14">
        <f>IF(RECEPTURA_WLASNA!C34="","",RECEPTURA_WLASNA!K34)</f>
        <v/>
      </c>
      <c r="G31" s="15">
        <f>IF(RECEPTURA_WLASNA!C34="",NA(),IF(ISNUMBER(RECEPTURA_WLASNA!H34),ABS(N(RECEPTURA_WLASNA!H34)),NA()))</f>
        <v/>
      </c>
    </row>
    <row r="32">
      <c r="A32" s="14">
        <f>IF(RECEPTURA_WLASNA!C35="","",RECEPTURA_WLASNA!C35&amp;" ("&amp;RECEPTURA_WLASNA!B35&amp;")")</f>
        <v/>
      </c>
      <c r="B32" s="30">
        <f>IF(RECEPTURA_WLASNA!C35="",NA(),N(RECEPTURA_WLASNA!E35))</f>
        <v/>
      </c>
      <c r="C32" s="30">
        <f>IF(RECEPTURA_WLASNA!C35="",NA(),N(RECEPTURA_WLASNA!F35))</f>
        <v/>
      </c>
      <c r="D32" s="15">
        <f>IF(OR(RECEPTURA_WLASNA!C35="",RECEPTURA_WLASNA!H35=""),NA(),IF(ISNUMBER(RECEPTURA_WLASNA!H35),RECEPTURA_WLASNA!H35,NA()))</f>
        <v/>
      </c>
      <c r="E32" s="15">
        <f>IF(RECEPTURA_WLASNA!C35="",NA(),IF(N(RECEPTURA_WLASNA!F35)=0,NA(),RECEPTURA_WLASNA!J35))</f>
        <v/>
      </c>
      <c r="F32" s="14">
        <f>IF(RECEPTURA_WLASNA!C35="","",RECEPTURA_WLASNA!K35)</f>
        <v/>
      </c>
      <c r="G32" s="15">
        <f>IF(RECEPTURA_WLASNA!C35="",NA(),IF(ISNUMBER(RECEPTURA_WLASNA!H35),ABS(N(RECEPTURA_WLASNA!H35)),NA()))</f>
        <v/>
      </c>
    </row>
    <row r="33">
      <c r="A33" s="14">
        <f>IF(RECEPTURA_WLASNA!C36="","",RECEPTURA_WLASNA!C36&amp;" ("&amp;RECEPTURA_WLASNA!B36&amp;")")</f>
        <v/>
      </c>
      <c r="B33" s="30">
        <f>IF(RECEPTURA_WLASNA!C36="",NA(),N(RECEPTURA_WLASNA!E36))</f>
        <v/>
      </c>
      <c r="C33" s="30">
        <f>IF(RECEPTURA_WLASNA!C36="",NA(),N(RECEPTURA_WLASNA!F36))</f>
        <v/>
      </c>
      <c r="D33" s="15">
        <f>IF(OR(RECEPTURA_WLASNA!C36="",RECEPTURA_WLASNA!H36=""),NA(),IF(ISNUMBER(RECEPTURA_WLASNA!H36),RECEPTURA_WLASNA!H36,NA()))</f>
        <v/>
      </c>
      <c r="E33" s="15">
        <f>IF(RECEPTURA_WLASNA!C36="",NA(),IF(N(RECEPTURA_WLASNA!F36)=0,NA(),RECEPTURA_WLASNA!J36))</f>
        <v/>
      </c>
      <c r="F33" s="14">
        <f>IF(RECEPTURA_WLASNA!C36="","",RECEPTURA_WLASNA!K36)</f>
        <v/>
      </c>
      <c r="G33" s="15">
        <f>IF(RECEPTURA_WLASNA!C36="",NA(),IF(ISNUMBER(RECEPTURA_WLASNA!H36),ABS(N(RECEPTURA_WLASNA!H36)),NA()))</f>
        <v/>
      </c>
    </row>
    <row r="34">
      <c r="A34" s="14">
        <f>IF(RECEPTURA_WLASNA!C37="","",RECEPTURA_WLASNA!C37&amp;" ("&amp;RECEPTURA_WLASNA!B37&amp;")")</f>
        <v/>
      </c>
      <c r="B34" s="30">
        <f>IF(RECEPTURA_WLASNA!C37="",NA(),N(RECEPTURA_WLASNA!E37))</f>
        <v/>
      </c>
      <c r="C34" s="30">
        <f>IF(RECEPTURA_WLASNA!C37="",NA(),N(RECEPTURA_WLASNA!F37))</f>
        <v/>
      </c>
      <c r="D34" s="15">
        <f>IF(OR(RECEPTURA_WLASNA!C37="",RECEPTURA_WLASNA!H37=""),NA(),IF(ISNUMBER(RECEPTURA_WLASNA!H37),RECEPTURA_WLASNA!H37,NA()))</f>
        <v/>
      </c>
      <c r="E34" s="15">
        <f>IF(RECEPTURA_WLASNA!C37="",NA(),IF(N(RECEPTURA_WLASNA!F37)=0,NA(),RECEPTURA_WLASNA!J37))</f>
        <v/>
      </c>
      <c r="F34" s="14">
        <f>IF(RECEPTURA_WLASNA!C37="","",RECEPTURA_WLASNA!K37)</f>
        <v/>
      </c>
      <c r="G34" s="15">
        <f>IF(RECEPTURA_WLASNA!C37="",NA(),IF(ISNUMBER(RECEPTURA_WLASNA!H37),ABS(N(RECEPTURA_WLASNA!H37)),NA()))</f>
        <v/>
      </c>
    </row>
    <row r="35">
      <c r="A35" s="14">
        <f>IF(RECEPTURA_WLASNA!C38="","",RECEPTURA_WLASNA!C38&amp;" ("&amp;RECEPTURA_WLASNA!B38&amp;")")</f>
        <v/>
      </c>
      <c r="B35" s="30">
        <f>IF(RECEPTURA_WLASNA!C38="",NA(),N(RECEPTURA_WLASNA!E38))</f>
        <v/>
      </c>
      <c r="C35" s="30">
        <f>IF(RECEPTURA_WLASNA!C38="",NA(),N(RECEPTURA_WLASNA!F38))</f>
        <v/>
      </c>
      <c r="D35" s="15">
        <f>IF(OR(RECEPTURA_WLASNA!C38="",RECEPTURA_WLASNA!H38=""),NA(),IF(ISNUMBER(RECEPTURA_WLASNA!H38),RECEPTURA_WLASNA!H38,NA()))</f>
        <v/>
      </c>
      <c r="E35" s="15">
        <f>IF(RECEPTURA_WLASNA!C38="",NA(),IF(N(RECEPTURA_WLASNA!F38)=0,NA(),RECEPTURA_WLASNA!J38))</f>
        <v/>
      </c>
      <c r="F35" s="14">
        <f>IF(RECEPTURA_WLASNA!C38="","",RECEPTURA_WLASNA!K38)</f>
        <v/>
      </c>
      <c r="G35" s="15">
        <f>IF(RECEPTURA_WLASNA!C38="",NA(),IF(ISNUMBER(RECEPTURA_WLASNA!H38),ABS(N(RECEPTURA_WLASNA!H38)),NA()))</f>
        <v/>
      </c>
    </row>
    <row r="36">
      <c r="A36" s="14">
        <f>IF(RECEPTURA_WLASNA!C39="","",RECEPTURA_WLASNA!C39&amp;" ("&amp;RECEPTURA_WLASNA!B39&amp;")")</f>
        <v/>
      </c>
      <c r="B36" s="30">
        <f>IF(RECEPTURA_WLASNA!C39="",NA(),N(RECEPTURA_WLASNA!E39))</f>
        <v/>
      </c>
      <c r="C36" s="30">
        <f>IF(RECEPTURA_WLASNA!C39="",NA(),N(RECEPTURA_WLASNA!F39))</f>
        <v/>
      </c>
      <c r="D36" s="15">
        <f>IF(OR(RECEPTURA_WLASNA!C39="",RECEPTURA_WLASNA!H39=""),NA(),IF(ISNUMBER(RECEPTURA_WLASNA!H39),RECEPTURA_WLASNA!H39,NA()))</f>
        <v/>
      </c>
      <c r="E36" s="15">
        <f>IF(RECEPTURA_WLASNA!C39="",NA(),IF(N(RECEPTURA_WLASNA!F39)=0,NA(),RECEPTURA_WLASNA!J39))</f>
        <v/>
      </c>
      <c r="F36" s="14">
        <f>IF(RECEPTURA_WLASNA!C39="","",RECEPTURA_WLASNA!K39)</f>
        <v/>
      </c>
      <c r="G36" s="15">
        <f>IF(RECEPTURA_WLASNA!C39="",NA(),IF(ISNUMBER(RECEPTURA_WLASNA!H39),ABS(N(RECEPTURA_WLASNA!H39)),NA()))</f>
        <v/>
      </c>
    </row>
    <row r="37">
      <c r="A37" s="14">
        <f>IF(RECEPTURA_WLASNA!C40="","",RECEPTURA_WLASNA!C40&amp;" ("&amp;RECEPTURA_WLASNA!B40&amp;")")</f>
        <v/>
      </c>
      <c r="B37" s="30">
        <f>IF(RECEPTURA_WLASNA!C40="",NA(),N(RECEPTURA_WLASNA!E40))</f>
        <v/>
      </c>
      <c r="C37" s="30">
        <f>IF(RECEPTURA_WLASNA!C40="",NA(),N(RECEPTURA_WLASNA!F40))</f>
        <v/>
      </c>
      <c r="D37" s="15">
        <f>IF(OR(RECEPTURA_WLASNA!C40="",RECEPTURA_WLASNA!H40=""),NA(),IF(ISNUMBER(RECEPTURA_WLASNA!H40),RECEPTURA_WLASNA!H40,NA()))</f>
        <v/>
      </c>
      <c r="E37" s="15">
        <f>IF(RECEPTURA_WLASNA!C40="",NA(),IF(N(RECEPTURA_WLASNA!F40)=0,NA(),RECEPTURA_WLASNA!J40))</f>
        <v/>
      </c>
      <c r="F37" s="14">
        <f>IF(RECEPTURA_WLASNA!C40="","",RECEPTURA_WLASNA!K40)</f>
        <v/>
      </c>
      <c r="G37" s="15">
        <f>IF(RECEPTURA_WLASNA!C40="",NA(),IF(ISNUMBER(RECEPTURA_WLASNA!H40),ABS(N(RECEPTURA_WLASNA!H40)),NA()))</f>
        <v/>
      </c>
    </row>
    <row r="38">
      <c r="A38" s="14">
        <f>IF(RECEPTURA_WLASNA!C41="","",RECEPTURA_WLASNA!C41&amp;" ("&amp;RECEPTURA_WLASNA!B41&amp;")")</f>
        <v/>
      </c>
      <c r="B38" s="30">
        <f>IF(RECEPTURA_WLASNA!C41="",NA(),N(RECEPTURA_WLASNA!E41))</f>
        <v/>
      </c>
      <c r="C38" s="30">
        <f>IF(RECEPTURA_WLASNA!C41="",NA(),N(RECEPTURA_WLASNA!F41))</f>
        <v/>
      </c>
      <c r="D38" s="15">
        <f>IF(OR(RECEPTURA_WLASNA!C41="",RECEPTURA_WLASNA!H41=""),NA(),IF(ISNUMBER(RECEPTURA_WLASNA!H41),RECEPTURA_WLASNA!H41,NA()))</f>
        <v/>
      </c>
      <c r="E38" s="15">
        <f>IF(RECEPTURA_WLASNA!C41="",NA(),IF(N(RECEPTURA_WLASNA!F41)=0,NA(),RECEPTURA_WLASNA!J41))</f>
        <v/>
      </c>
      <c r="F38" s="14">
        <f>IF(RECEPTURA_WLASNA!C41="","",RECEPTURA_WLASNA!K41)</f>
        <v/>
      </c>
      <c r="G38" s="15">
        <f>IF(RECEPTURA_WLASNA!C41="",NA(),IF(ISNUMBER(RECEPTURA_WLASNA!H41),ABS(N(RECEPTURA_WLASNA!H41)),NA()))</f>
        <v/>
      </c>
    </row>
    <row r="39">
      <c r="A39" s="14">
        <f>IF(RECEPTURA_WLASNA!C42="","",RECEPTURA_WLASNA!C42&amp;" ("&amp;RECEPTURA_WLASNA!B42&amp;")")</f>
        <v/>
      </c>
      <c r="B39" s="30">
        <f>IF(RECEPTURA_WLASNA!C42="",NA(),N(RECEPTURA_WLASNA!E42))</f>
        <v/>
      </c>
      <c r="C39" s="30">
        <f>IF(RECEPTURA_WLASNA!C42="",NA(),N(RECEPTURA_WLASNA!F42))</f>
        <v/>
      </c>
      <c r="D39" s="15">
        <f>IF(OR(RECEPTURA_WLASNA!C42="",RECEPTURA_WLASNA!H42=""),NA(),IF(ISNUMBER(RECEPTURA_WLASNA!H42),RECEPTURA_WLASNA!H42,NA()))</f>
        <v/>
      </c>
      <c r="E39" s="15">
        <f>IF(RECEPTURA_WLASNA!C42="",NA(),IF(N(RECEPTURA_WLASNA!F42)=0,NA(),RECEPTURA_WLASNA!J42))</f>
        <v/>
      </c>
      <c r="F39" s="14">
        <f>IF(RECEPTURA_WLASNA!C42="","",RECEPTURA_WLASNA!K42)</f>
        <v/>
      </c>
      <c r="G39" s="15">
        <f>IF(RECEPTURA_WLASNA!C42="",NA(),IF(ISNUMBER(RECEPTURA_WLASNA!H42),ABS(N(RECEPTURA_WLASNA!H42)),NA()))</f>
        <v/>
      </c>
    </row>
    <row r="40">
      <c r="A40" s="14">
        <f>IF(RECEPTURA_WLASNA!C43="","",RECEPTURA_WLASNA!C43&amp;" ("&amp;RECEPTURA_WLASNA!B43&amp;")")</f>
        <v/>
      </c>
      <c r="B40" s="30">
        <f>IF(RECEPTURA_WLASNA!C43="",NA(),N(RECEPTURA_WLASNA!E43))</f>
        <v/>
      </c>
      <c r="C40" s="30">
        <f>IF(RECEPTURA_WLASNA!C43="",NA(),N(RECEPTURA_WLASNA!F43))</f>
        <v/>
      </c>
      <c r="D40" s="15">
        <f>IF(OR(RECEPTURA_WLASNA!C43="",RECEPTURA_WLASNA!H43=""),NA(),IF(ISNUMBER(RECEPTURA_WLASNA!H43),RECEPTURA_WLASNA!H43,NA()))</f>
        <v/>
      </c>
      <c r="E40" s="15">
        <f>IF(RECEPTURA_WLASNA!C43="",NA(),IF(N(RECEPTURA_WLASNA!F43)=0,NA(),RECEPTURA_WLASNA!J43))</f>
        <v/>
      </c>
      <c r="F40" s="14">
        <f>IF(RECEPTURA_WLASNA!C43="","",RECEPTURA_WLASNA!K43)</f>
        <v/>
      </c>
      <c r="G40" s="15">
        <f>IF(RECEPTURA_WLASNA!C43="",NA(),IF(ISNUMBER(RECEPTURA_WLASNA!H43),ABS(N(RECEPTURA_WLASNA!H43)),NA()))</f>
        <v/>
      </c>
    </row>
    <row r="41">
      <c r="A41" s="14">
        <f>IF(RECEPTURA_WLASNA!C44="","",RECEPTURA_WLASNA!C44&amp;" ("&amp;RECEPTURA_WLASNA!B44&amp;")")</f>
        <v/>
      </c>
      <c r="B41" s="30">
        <f>IF(RECEPTURA_WLASNA!C44="",NA(),N(RECEPTURA_WLASNA!E44))</f>
        <v/>
      </c>
      <c r="C41" s="30">
        <f>IF(RECEPTURA_WLASNA!C44="",NA(),N(RECEPTURA_WLASNA!F44))</f>
        <v/>
      </c>
      <c r="D41" s="15">
        <f>IF(OR(RECEPTURA_WLASNA!C44="",RECEPTURA_WLASNA!H44=""),NA(),IF(ISNUMBER(RECEPTURA_WLASNA!H44),RECEPTURA_WLASNA!H44,NA()))</f>
        <v/>
      </c>
      <c r="E41" s="15">
        <f>IF(RECEPTURA_WLASNA!C44="",NA(),IF(N(RECEPTURA_WLASNA!F44)=0,NA(),RECEPTURA_WLASNA!J44))</f>
        <v/>
      </c>
      <c r="F41" s="14">
        <f>IF(RECEPTURA_WLASNA!C44="","",RECEPTURA_WLASNA!K44)</f>
        <v/>
      </c>
      <c r="G41" s="15">
        <f>IF(RECEPTURA_WLASNA!C44="",NA(),IF(ISNUMBER(RECEPTURA_WLASNA!H44),ABS(N(RECEPTURA_WLASNA!H44)),NA()))</f>
        <v/>
      </c>
    </row>
    <row r="42">
      <c r="A42" s="14">
        <f>IF(RECEPTURA_WLASNA!C45="","",RECEPTURA_WLASNA!C45&amp;" ("&amp;RECEPTURA_WLASNA!B45&amp;")")</f>
        <v/>
      </c>
      <c r="B42" s="30">
        <f>IF(RECEPTURA_WLASNA!C45="",NA(),N(RECEPTURA_WLASNA!E45))</f>
        <v/>
      </c>
      <c r="C42" s="30">
        <f>IF(RECEPTURA_WLASNA!C45="",NA(),N(RECEPTURA_WLASNA!F45))</f>
        <v/>
      </c>
      <c r="D42" s="15">
        <f>IF(OR(RECEPTURA_WLASNA!C45="",RECEPTURA_WLASNA!H45=""),NA(),IF(ISNUMBER(RECEPTURA_WLASNA!H45),RECEPTURA_WLASNA!H45,NA()))</f>
        <v/>
      </c>
      <c r="E42" s="15">
        <f>IF(RECEPTURA_WLASNA!C45="",NA(),IF(N(RECEPTURA_WLASNA!F45)=0,NA(),RECEPTURA_WLASNA!J45))</f>
        <v/>
      </c>
      <c r="F42" s="14">
        <f>IF(RECEPTURA_WLASNA!C45="","",RECEPTURA_WLASNA!K45)</f>
        <v/>
      </c>
      <c r="G42" s="15">
        <f>IF(RECEPTURA_WLASNA!C45="",NA(),IF(ISNUMBER(RECEPTURA_WLASNA!H45),ABS(N(RECEPTURA_WLASNA!H45)),NA()))</f>
        <v/>
      </c>
    </row>
    <row r="43">
      <c r="A43" s="14">
        <f>IF(RECEPTURA_WLASNA!C46="","",RECEPTURA_WLASNA!C46&amp;" ("&amp;RECEPTURA_WLASNA!B46&amp;")")</f>
        <v/>
      </c>
      <c r="B43" s="30">
        <f>IF(RECEPTURA_WLASNA!C46="",NA(),N(RECEPTURA_WLASNA!E46))</f>
        <v/>
      </c>
      <c r="C43" s="30">
        <f>IF(RECEPTURA_WLASNA!C46="",NA(),N(RECEPTURA_WLASNA!F46))</f>
        <v/>
      </c>
      <c r="D43" s="15">
        <f>IF(OR(RECEPTURA_WLASNA!C46="",RECEPTURA_WLASNA!H46=""),NA(),IF(ISNUMBER(RECEPTURA_WLASNA!H46),RECEPTURA_WLASNA!H46,NA()))</f>
        <v/>
      </c>
      <c r="E43" s="15">
        <f>IF(RECEPTURA_WLASNA!C46="",NA(),IF(N(RECEPTURA_WLASNA!F46)=0,NA(),RECEPTURA_WLASNA!J46))</f>
        <v/>
      </c>
      <c r="F43" s="14">
        <f>IF(RECEPTURA_WLASNA!C46="","",RECEPTURA_WLASNA!K46)</f>
        <v/>
      </c>
      <c r="G43" s="15">
        <f>IF(RECEPTURA_WLASNA!C46="",NA(),IF(ISNUMBER(RECEPTURA_WLASNA!H46),ABS(N(RECEPTURA_WLASNA!H46)),NA()))</f>
        <v/>
      </c>
    </row>
    <row r="44">
      <c r="A44" s="14">
        <f>IF(RECEPTURA_WLASNA!C47="","",RECEPTURA_WLASNA!C47&amp;" ("&amp;RECEPTURA_WLASNA!B47&amp;")")</f>
        <v/>
      </c>
      <c r="B44" s="30">
        <f>IF(RECEPTURA_WLASNA!C47="",NA(),N(RECEPTURA_WLASNA!E47))</f>
        <v/>
      </c>
      <c r="C44" s="30">
        <f>IF(RECEPTURA_WLASNA!C47="",NA(),N(RECEPTURA_WLASNA!F47))</f>
        <v/>
      </c>
      <c r="D44" s="15">
        <f>IF(OR(RECEPTURA_WLASNA!C47="",RECEPTURA_WLASNA!H47=""),NA(),IF(ISNUMBER(RECEPTURA_WLASNA!H47),RECEPTURA_WLASNA!H47,NA()))</f>
        <v/>
      </c>
      <c r="E44" s="15">
        <f>IF(RECEPTURA_WLASNA!C47="",NA(),IF(N(RECEPTURA_WLASNA!F47)=0,NA(),RECEPTURA_WLASNA!J47))</f>
        <v/>
      </c>
      <c r="F44" s="14">
        <f>IF(RECEPTURA_WLASNA!C47="","",RECEPTURA_WLASNA!K47)</f>
        <v/>
      </c>
      <c r="G44" s="15">
        <f>IF(RECEPTURA_WLASNA!C47="",NA(),IF(ISNUMBER(RECEPTURA_WLASNA!H47),ABS(N(RECEPTURA_WLASNA!H47)),NA()))</f>
        <v/>
      </c>
    </row>
    <row r="45">
      <c r="A45" s="14">
        <f>IF(RECEPTURA_WLASNA!C48="","",RECEPTURA_WLASNA!C48&amp;" ("&amp;RECEPTURA_WLASNA!B48&amp;")")</f>
        <v/>
      </c>
      <c r="B45" s="30">
        <f>IF(RECEPTURA_WLASNA!C48="",NA(),N(RECEPTURA_WLASNA!E48))</f>
        <v/>
      </c>
      <c r="C45" s="30">
        <f>IF(RECEPTURA_WLASNA!C48="",NA(),N(RECEPTURA_WLASNA!F48))</f>
        <v/>
      </c>
      <c r="D45" s="15">
        <f>IF(OR(RECEPTURA_WLASNA!C48="",RECEPTURA_WLASNA!H48=""),NA(),IF(ISNUMBER(RECEPTURA_WLASNA!H48),RECEPTURA_WLASNA!H48,NA()))</f>
        <v/>
      </c>
      <c r="E45" s="15">
        <f>IF(RECEPTURA_WLASNA!C48="",NA(),IF(N(RECEPTURA_WLASNA!F48)=0,NA(),RECEPTURA_WLASNA!J48))</f>
        <v/>
      </c>
      <c r="F45" s="14">
        <f>IF(RECEPTURA_WLASNA!C48="","",RECEPTURA_WLASNA!K48)</f>
        <v/>
      </c>
      <c r="G45" s="15">
        <f>IF(RECEPTURA_WLASNA!C48="",NA(),IF(ISNUMBER(RECEPTURA_WLASNA!H48),ABS(N(RECEPTURA_WLASNA!H48)),NA()))</f>
        <v/>
      </c>
    </row>
    <row r="46">
      <c r="A46" s="14">
        <f>IF(RECEPTURA_WLASNA!C49="","",RECEPTURA_WLASNA!C49&amp;" ("&amp;RECEPTURA_WLASNA!B49&amp;")")</f>
        <v/>
      </c>
      <c r="B46" s="30">
        <f>IF(RECEPTURA_WLASNA!C49="",NA(),N(RECEPTURA_WLASNA!E49))</f>
        <v/>
      </c>
      <c r="C46" s="30">
        <f>IF(RECEPTURA_WLASNA!C49="",NA(),N(RECEPTURA_WLASNA!F49))</f>
        <v/>
      </c>
      <c r="D46" s="15">
        <f>IF(OR(RECEPTURA_WLASNA!C49="",RECEPTURA_WLASNA!H49=""),NA(),IF(ISNUMBER(RECEPTURA_WLASNA!H49),RECEPTURA_WLASNA!H49,NA()))</f>
        <v/>
      </c>
      <c r="E46" s="15">
        <f>IF(RECEPTURA_WLASNA!C49="",NA(),IF(N(RECEPTURA_WLASNA!F49)=0,NA(),RECEPTURA_WLASNA!J49))</f>
        <v/>
      </c>
      <c r="F46" s="14">
        <f>IF(RECEPTURA_WLASNA!C49="","",RECEPTURA_WLASNA!K49)</f>
        <v/>
      </c>
      <c r="G46" s="15">
        <f>IF(RECEPTURA_WLASNA!C49="",NA(),IF(ISNUMBER(RECEPTURA_WLASNA!H49),ABS(N(RECEPTURA_WLASNA!H49)),NA()))</f>
        <v/>
      </c>
    </row>
    <row r="47">
      <c r="A47" s="14">
        <f>IF(RECEPTURA_WLASNA!C50="","",RECEPTURA_WLASNA!C50&amp;" ("&amp;RECEPTURA_WLASNA!B50&amp;")")</f>
        <v/>
      </c>
      <c r="B47" s="30">
        <f>IF(RECEPTURA_WLASNA!C50="",NA(),N(RECEPTURA_WLASNA!E50))</f>
        <v/>
      </c>
      <c r="C47" s="30">
        <f>IF(RECEPTURA_WLASNA!C50="",NA(),N(RECEPTURA_WLASNA!F50))</f>
        <v/>
      </c>
      <c r="D47" s="15">
        <f>IF(OR(RECEPTURA_WLASNA!C50="",RECEPTURA_WLASNA!H50=""),NA(),IF(ISNUMBER(RECEPTURA_WLASNA!H50),RECEPTURA_WLASNA!H50,NA()))</f>
        <v/>
      </c>
      <c r="E47" s="15">
        <f>IF(RECEPTURA_WLASNA!C50="",NA(),IF(N(RECEPTURA_WLASNA!F50)=0,NA(),RECEPTURA_WLASNA!J50))</f>
        <v/>
      </c>
      <c r="F47" s="14">
        <f>IF(RECEPTURA_WLASNA!C50="","",RECEPTURA_WLASNA!K50)</f>
        <v/>
      </c>
      <c r="G47" s="15">
        <f>IF(RECEPTURA_WLASNA!C50="",NA(),IF(ISNUMBER(RECEPTURA_WLASNA!H50),ABS(N(RECEPTURA_WLASNA!H50)),NA()))</f>
        <v/>
      </c>
    </row>
    <row r="48">
      <c r="A48" s="14">
        <f>IF(RECEPTURA_WLASNA!C51="","",RECEPTURA_WLASNA!C51&amp;" ("&amp;RECEPTURA_WLASNA!B51&amp;")")</f>
        <v/>
      </c>
      <c r="B48" s="30">
        <f>IF(RECEPTURA_WLASNA!C51="",NA(),N(RECEPTURA_WLASNA!E51))</f>
        <v/>
      </c>
      <c r="C48" s="30">
        <f>IF(RECEPTURA_WLASNA!C51="",NA(),N(RECEPTURA_WLASNA!F51))</f>
        <v/>
      </c>
      <c r="D48" s="15">
        <f>IF(OR(RECEPTURA_WLASNA!C51="",RECEPTURA_WLASNA!H51=""),NA(),IF(ISNUMBER(RECEPTURA_WLASNA!H51),RECEPTURA_WLASNA!H51,NA()))</f>
        <v/>
      </c>
      <c r="E48" s="15">
        <f>IF(RECEPTURA_WLASNA!C51="",NA(),IF(N(RECEPTURA_WLASNA!F51)=0,NA(),RECEPTURA_WLASNA!J51))</f>
        <v/>
      </c>
      <c r="F48" s="14">
        <f>IF(RECEPTURA_WLASNA!C51="","",RECEPTURA_WLASNA!K51)</f>
        <v/>
      </c>
      <c r="G48" s="15">
        <f>IF(RECEPTURA_WLASNA!C51="",NA(),IF(ISNUMBER(RECEPTURA_WLASNA!H51),ABS(N(RECEPTURA_WLASNA!H51)),NA()))</f>
        <v/>
      </c>
    </row>
  </sheetData>
  <mergeCells count="2">
    <mergeCell ref="A2:F2"/>
    <mergeCell ref="A1:F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S115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3" max="3"/>
    <col width="16" customWidth="1" min="5" max="5"/>
    <col width="42" customWidth="1" min="6" max="6"/>
    <col width="16" customWidth="1" min="7" max="7"/>
    <col width="42" customWidth="1" min="8" max="8"/>
    <col width="18" customWidth="1" min="9" max="9"/>
    <col width="28" customWidth="1" min="10" max="10"/>
    <col width="28" customWidth="1" min="11" max="11"/>
  </cols>
  <sheetData>
    <row r="1" ht="28" customHeight="1">
      <c r="A1" s="1" t="inlineStr">
        <is>
          <t>LISTY POMOCNICZE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</row>
    <row r="2" ht="18" customHeight="1">
      <c r="A2" s="3" t="inlineStr">
        <is>
          <t>Źródło list rozwijanych NR PIGMENTU. Etykieta = kod | nazwa. Makro i Validity biorą zakres z J9/K9.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</row>
    <row r="8">
      <c r="A8" s="54" t="inlineStr">
        <is>
          <t>SYSTEMY</t>
        </is>
      </c>
      <c r="C8" s="54" t="inlineStr">
        <is>
          <t>PRESETY_MASY_G</t>
        </is>
      </c>
      <c r="E8" s="53" t="inlineStr">
        <is>
          <t>AUTOCOLOR_NR</t>
        </is>
      </c>
      <c r="F8" s="53" t="inlineStr">
        <is>
          <t>AUTOCOLOR_LISTA</t>
        </is>
      </c>
      <c r="G8" s="53" t="inlineStr">
        <is>
          <t>DUXONE_NR</t>
        </is>
      </c>
      <c r="H8" s="53" t="inlineStr">
        <is>
          <t>DUXONE_LISTA</t>
        </is>
      </c>
      <c r="I8" t="inlineStr">
        <is>
          <t>LICZBA</t>
        </is>
      </c>
      <c r="J8" s="53" t="inlineStr">
        <is>
          <t>ADRES_LISTA_AC</t>
        </is>
      </c>
      <c r="K8" s="53" t="inlineStr">
        <is>
          <t>ADRES_LISTA_DX</t>
        </is>
      </c>
    </row>
    <row r="9">
      <c r="A9" t="inlineStr">
        <is>
          <t>AUTOCOLOR</t>
        </is>
      </c>
      <c r="C9" t="n">
        <v>100</v>
      </c>
      <c r="E9" t="inlineStr">
        <is>
          <t>P192-475</t>
        </is>
      </c>
      <c r="F9" t="inlineStr">
        <is>
          <t>P192-475 | REGULATOR BAZY</t>
        </is>
      </c>
      <c r="G9" t="inlineStr">
        <is>
          <t>DX5110</t>
        </is>
      </c>
      <c r="H9" t="inlineStr">
        <is>
          <t>DX5110 | DEEP BLACK</t>
        </is>
      </c>
      <c r="I9" t="inlineStr">
        <is>
          <t>wiersze listy →</t>
        </is>
      </c>
      <c r="J9" t="inlineStr">
        <is>
          <t>LISTY!$F$9:$F$115</t>
        </is>
      </c>
      <c r="K9" t="inlineStr">
        <is>
          <t>LISTY!$H$9:$H$87</t>
        </is>
      </c>
    </row>
    <row r="10">
      <c r="A10" t="inlineStr">
        <is>
          <t>DUXONE</t>
        </is>
      </c>
      <c r="C10" t="n">
        <v>500</v>
      </c>
      <c r="E10" t="inlineStr">
        <is>
          <t>P192-528</t>
        </is>
      </c>
      <c r="F10" t="inlineStr">
        <is>
          <t>P192-528 | REGULATOR UŁOŻENIA ZIARNA</t>
        </is>
      </c>
      <c r="G10" t="inlineStr">
        <is>
          <t>DX5111</t>
        </is>
      </c>
      <c r="H10" t="inlineStr">
        <is>
          <t>DX5111 | BLACK</t>
        </is>
      </c>
      <c r="I10" t="inlineStr">
        <is>
          <t>liczba kodów →</t>
        </is>
      </c>
      <c r="J10" t="n">
        <v>107</v>
      </c>
      <c r="K10" t="n">
        <v>79</v>
      </c>
    </row>
    <row r="11">
      <c r="C11" t="n">
        <v>1000</v>
      </c>
      <c r="E11" t="inlineStr">
        <is>
          <t>P192-5600</t>
        </is>
      </c>
      <c r="F11" t="inlineStr">
        <is>
          <t>P192-5600 | REGULATOR FLOPU</t>
        </is>
      </c>
      <c r="G11" t="inlineStr">
        <is>
          <t>DX5121</t>
        </is>
      </c>
      <c r="H11" t="inlineStr">
        <is>
          <t>DX5121 | EFFECT BROWN</t>
        </is>
      </c>
    </row>
    <row r="12">
      <c r="E12" t="inlineStr">
        <is>
          <t>P420-902RT</t>
        </is>
      </c>
      <c r="F12" t="inlineStr">
        <is>
          <t>P420-902RT | RT Pale White</t>
        </is>
      </c>
      <c r="G12" t="inlineStr">
        <is>
          <t>DX5122</t>
        </is>
      </c>
      <c r="H12" t="inlineStr">
        <is>
          <t>DX5122 | EFFECT BROWN RED</t>
        </is>
      </c>
    </row>
    <row r="13">
      <c r="E13" t="inlineStr">
        <is>
          <t>P420-903RT</t>
        </is>
      </c>
      <c r="F13" t="inlineStr">
        <is>
          <t>P420-903RT | RT Medium Pale Yellow</t>
        </is>
      </c>
      <c r="G13" t="inlineStr">
        <is>
          <t>DX5123</t>
        </is>
      </c>
      <c r="H13" t="inlineStr">
        <is>
          <t>DX5123 | TRANSPARENT MAROON</t>
        </is>
      </c>
    </row>
    <row r="14">
      <c r="E14" t="inlineStr">
        <is>
          <t>P420-904RT</t>
        </is>
      </c>
      <c r="F14" t="inlineStr">
        <is>
          <t>P420-904RT | RT Transparent Black</t>
        </is>
      </c>
      <c r="G14" t="inlineStr">
        <is>
          <t>DX5126</t>
        </is>
      </c>
      <c r="H14" t="inlineStr">
        <is>
          <t>DX5126 | EFFECT OCRE</t>
        </is>
      </c>
    </row>
    <row r="15">
      <c r="E15" t="inlineStr">
        <is>
          <t>P420-905</t>
        </is>
      </c>
      <c r="F15" t="inlineStr">
        <is>
          <t>P420-905 | Yellow Oxide</t>
        </is>
      </c>
      <c r="G15" t="inlineStr">
        <is>
          <t>DX5130</t>
        </is>
      </c>
      <c r="H15" t="inlineStr">
        <is>
          <t>DX5130 | WHITE HS</t>
        </is>
      </c>
    </row>
    <row r="16">
      <c r="E16" t="inlineStr">
        <is>
          <t>P420-907</t>
        </is>
      </c>
      <c r="F16" t="inlineStr">
        <is>
          <t>P420-907 | Red Oxide</t>
        </is>
      </c>
      <c r="G16" t="inlineStr">
        <is>
          <t>DX5134</t>
        </is>
      </c>
      <c r="H16" t="inlineStr">
        <is>
          <t>DX5134 | EFFECT WHITE</t>
        </is>
      </c>
    </row>
    <row r="17">
      <c r="E17" t="inlineStr">
        <is>
          <t>P420-908RT</t>
        </is>
      </c>
      <c r="F17" t="inlineStr">
        <is>
          <t>P420-908RT | RT Russet</t>
        </is>
      </c>
      <c r="G17" t="inlineStr">
        <is>
          <t>DX5136</t>
        </is>
      </c>
      <c r="H17" t="inlineStr">
        <is>
          <t>DX5136 | Metallic Adjuster</t>
        </is>
      </c>
    </row>
    <row r="18">
      <c r="E18" t="inlineStr">
        <is>
          <t>P420-910RT</t>
        </is>
      </c>
      <c r="F18" t="inlineStr">
        <is>
          <t>P420-910RT | RT Deep Blue</t>
        </is>
      </c>
      <c r="G18" t="inlineStr">
        <is>
          <t>DX5161</t>
        </is>
      </c>
      <c r="H18" t="inlineStr">
        <is>
          <t>DX5161 | ORANGE</t>
        </is>
      </c>
    </row>
    <row r="19">
      <c r="E19" t="inlineStr">
        <is>
          <t>P420-920</t>
        </is>
      </c>
      <c r="F19" t="inlineStr">
        <is>
          <t>P420-920 | Violet</t>
        </is>
      </c>
      <c r="G19" t="inlineStr">
        <is>
          <t>DX5143</t>
        </is>
      </c>
      <c r="H19" t="inlineStr">
        <is>
          <t>DX5143 | RED</t>
        </is>
      </c>
    </row>
    <row r="20">
      <c r="E20" t="inlineStr">
        <is>
          <t>P420-926</t>
        </is>
      </c>
      <c r="F20" t="inlineStr">
        <is>
          <t>P420-926 | Super Red</t>
        </is>
      </c>
      <c r="G20" t="inlineStr">
        <is>
          <t>DX5144</t>
        </is>
      </c>
      <c r="H20" t="inlineStr">
        <is>
          <t>DX5144 | DARK RED</t>
        </is>
      </c>
    </row>
    <row r="21">
      <c r="E21" t="inlineStr">
        <is>
          <t>P420-930</t>
        </is>
      </c>
      <c r="F21" t="inlineStr">
        <is>
          <t>P420-930 | Lake Blue</t>
        </is>
      </c>
      <c r="G21" t="inlineStr">
        <is>
          <t>DX5145</t>
        </is>
      </c>
      <c r="H21" t="inlineStr">
        <is>
          <t>DX5145 | PINK RED</t>
        </is>
      </c>
    </row>
    <row r="22">
      <c r="E22" t="inlineStr">
        <is>
          <t>P420-933</t>
        </is>
      </c>
      <c r="F22" t="inlineStr">
        <is>
          <t>P420-933 | Blue Black</t>
        </is>
      </c>
      <c r="G22" t="inlineStr">
        <is>
          <t>DX5142</t>
        </is>
      </c>
      <c r="H22" t="inlineStr">
        <is>
          <t>DX5142 | FLAMING RED</t>
        </is>
      </c>
    </row>
    <row r="23">
      <c r="E23" t="inlineStr">
        <is>
          <t>P420-938</t>
        </is>
      </c>
      <c r="F23" t="inlineStr">
        <is>
          <t>P420-938 | Tone Controller</t>
        </is>
      </c>
      <c r="G23" t="inlineStr">
        <is>
          <t>DX5146</t>
        </is>
      </c>
      <c r="H23" t="inlineStr">
        <is>
          <t>DX5146 | MAGENTA RED</t>
        </is>
      </c>
    </row>
    <row r="24">
      <c r="E24" t="inlineStr">
        <is>
          <t>P420-942</t>
        </is>
      </c>
      <c r="F24" t="inlineStr">
        <is>
          <t>P420-942 | Transoxide Red</t>
        </is>
      </c>
      <c r="G24" t="inlineStr">
        <is>
          <t>DX5147</t>
        </is>
      </c>
      <c r="H24" t="inlineStr">
        <is>
          <t>DX5147 | LIGHT RED</t>
        </is>
      </c>
    </row>
    <row r="25">
      <c r="E25" t="inlineStr">
        <is>
          <t>P420-952</t>
        </is>
      </c>
      <c r="F25" t="inlineStr">
        <is>
          <t>P420-952 | Fast Blue</t>
        </is>
      </c>
      <c r="G25" t="inlineStr">
        <is>
          <t>DX5149</t>
        </is>
      </c>
      <c r="H25" t="inlineStr">
        <is>
          <t>DX5149 | BRIGHT RED</t>
        </is>
      </c>
    </row>
    <row r="26">
      <c r="E26" t="inlineStr">
        <is>
          <t>P420-960RT</t>
        </is>
      </c>
      <c r="F26" t="inlineStr">
        <is>
          <t>P420-960RT | RT Burgundy</t>
        </is>
      </c>
      <c r="G26" t="inlineStr">
        <is>
          <t>DX5155</t>
        </is>
      </c>
      <c r="H26" t="inlineStr">
        <is>
          <t>DX5155</t>
        </is>
      </c>
    </row>
    <row r="27">
      <c r="E27" t="inlineStr">
        <is>
          <t>P420-975</t>
        </is>
      </c>
      <c r="F27" t="inlineStr">
        <is>
          <t>P420-975 | Bronze Green</t>
        </is>
      </c>
      <c r="G27" t="inlineStr">
        <is>
          <t>DX5162</t>
        </is>
      </c>
      <c r="H27" t="inlineStr">
        <is>
          <t>DX5162 | YELLOW ORANGE (LEAD FREE)</t>
        </is>
      </c>
    </row>
    <row r="28">
      <c r="E28" t="inlineStr">
        <is>
          <t>P420-978</t>
        </is>
      </c>
      <c r="F28" t="inlineStr">
        <is>
          <t>P420-978 | Brown</t>
        </is>
      </c>
      <c r="G28" t="inlineStr">
        <is>
          <t>DX5163</t>
        </is>
      </c>
      <c r="H28" t="inlineStr">
        <is>
          <t>DX5163 | EFFECT YELLOW (LEAD FREE)</t>
        </is>
      </c>
    </row>
    <row r="29">
      <c r="E29" t="inlineStr">
        <is>
          <t>P420-983</t>
        </is>
      </c>
      <c r="F29" t="inlineStr">
        <is>
          <t>P420-983 | Strong Yellow</t>
        </is>
      </c>
      <c r="G29" t="inlineStr">
        <is>
          <t>DX5166</t>
        </is>
      </c>
      <c r="H29" t="inlineStr">
        <is>
          <t>DX5166 | EFFECT LIGHT YELLOW (LEAD FREE)</t>
        </is>
      </c>
    </row>
    <row r="30">
      <c r="E30" t="inlineStr">
        <is>
          <t>P425-900</t>
        </is>
      </c>
      <c r="F30" t="inlineStr">
        <is>
          <t>P425-900 | HS Super White</t>
        </is>
      </c>
      <c r="G30" t="inlineStr">
        <is>
          <t>DX5167</t>
        </is>
      </c>
      <c r="H30" t="inlineStr">
        <is>
          <t>DX5167 | YELLOW (LEAD FREE)</t>
        </is>
      </c>
    </row>
    <row r="31">
      <c r="E31" t="inlineStr">
        <is>
          <t>P425-919</t>
        </is>
      </c>
      <c r="F31" t="inlineStr">
        <is>
          <t>P425-919 | HS Clean Red Violet</t>
        </is>
      </c>
      <c r="G31" t="inlineStr">
        <is>
          <t>DX5168</t>
        </is>
      </c>
      <c r="H31" t="inlineStr">
        <is>
          <t>DX5168 | YELLOW BROWN</t>
        </is>
      </c>
    </row>
    <row r="32">
      <c r="E32" t="inlineStr">
        <is>
          <t>P425-921</t>
        </is>
      </c>
      <c r="F32" t="inlineStr">
        <is>
          <t>P425-921 | HS Claret</t>
        </is>
      </c>
      <c r="G32" t="inlineStr">
        <is>
          <t>DX5171</t>
        </is>
      </c>
      <c r="H32" t="inlineStr">
        <is>
          <t>DX5171 | YELLOW GREEN</t>
        </is>
      </c>
    </row>
    <row r="33">
      <c r="E33" t="inlineStr">
        <is>
          <t>P425-922</t>
        </is>
      </c>
      <c r="F33" t="inlineStr">
        <is>
          <t>P425-922 | HS Lagoon Blue</t>
        </is>
      </c>
      <c r="G33" t="inlineStr">
        <is>
          <t>DX5172</t>
        </is>
      </c>
      <c r="H33" t="inlineStr">
        <is>
          <t>DX5172 | GREEN</t>
        </is>
      </c>
    </row>
    <row r="34">
      <c r="E34" t="inlineStr">
        <is>
          <t>P425-941</t>
        </is>
      </c>
      <c r="F34" t="inlineStr">
        <is>
          <t>P425-941 | HS Strong Red</t>
        </is>
      </c>
      <c r="G34" t="inlineStr">
        <is>
          <t>DX5173</t>
        </is>
      </c>
      <c r="H34" t="inlineStr">
        <is>
          <t>DX5173 | BRIGHT GREEN</t>
        </is>
      </c>
    </row>
    <row r="35">
      <c r="E35" t="inlineStr">
        <is>
          <t>P425-948</t>
        </is>
      </c>
      <c r="F35" t="inlineStr">
        <is>
          <t>P425-948 | HS Black</t>
        </is>
      </c>
      <c r="G35" t="inlineStr">
        <is>
          <t>DX5174</t>
        </is>
      </c>
      <c r="H35" t="inlineStr">
        <is>
          <t>DX5174 | GOLD GREEN</t>
        </is>
      </c>
    </row>
    <row r="36">
      <c r="E36" t="inlineStr">
        <is>
          <t>P425-950</t>
        </is>
      </c>
      <c r="F36" t="inlineStr">
        <is>
          <t>P425-950 | HS Jet Black</t>
        </is>
      </c>
      <c r="G36" t="inlineStr">
        <is>
          <t>DX5181</t>
        </is>
      </c>
      <c r="H36" t="inlineStr">
        <is>
          <t>DX5181 | GREEN BLUE</t>
        </is>
      </c>
    </row>
    <row r="37">
      <c r="E37" t="inlineStr">
        <is>
          <t>P425-954</t>
        </is>
      </c>
      <c r="F37" t="inlineStr">
        <is>
          <t>P425-954 | HS Blue Green</t>
        </is>
      </c>
      <c r="G37" t="inlineStr">
        <is>
          <t>DX5182</t>
        </is>
      </c>
      <c r="H37" t="inlineStr">
        <is>
          <t>DX5182 | EFFECT BLUE</t>
        </is>
      </c>
    </row>
    <row r="38">
      <c r="E38" t="inlineStr">
        <is>
          <t>P425-956</t>
        </is>
      </c>
      <c r="F38" t="inlineStr">
        <is>
          <t>P425-956 | HS Super Blue</t>
        </is>
      </c>
      <c r="G38" t="inlineStr">
        <is>
          <t>DX5184</t>
        </is>
      </c>
      <c r="H38" t="inlineStr">
        <is>
          <t>DX5184 | „Pod kątem”</t>
        </is>
      </c>
    </row>
    <row r="39">
      <c r="E39" t="inlineStr">
        <is>
          <t>P425-957</t>
        </is>
      </c>
      <c r="F39" t="inlineStr">
        <is>
          <t>P425-957 | HS Fast Blue</t>
        </is>
      </c>
      <c r="G39" t="inlineStr">
        <is>
          <t>DX5185</t>
        </is>
      </c>
      <c r="H39" t="inlineStr">
        <is>
          <t>DX5185 | RED BLUE</t>
        </is>
      </c>
    </row>
    <row r="40">
      <c r="E40" t="inlineStr">
        <is>
          <t>P425-971</t>
        </is>
      </c>
      <c r="F40" t="inlineStr">
        <is>
          <t>P425-971 | HS Brilliant Red</t>
        </is>
      </c>
      <c r="G40" t="inlineStr">
        <is>
          <t>DX5187</t>
        </is>
      </c>
      <c r="H40" t="inlineStr">
        <is>
          <t>DX5187 | VIOLET</t>
        </is>
      </c>
    </row>
    <row r="41">
      <c r="E41" t="inlineStr">
        <is>
          <t>P425-984</t>
        </is>
      </c>
      <c r="F41" t="inlineStr">
        <is>
          <t>P425-984 | HS Medium Fine Aluminium</t>
        </is>
      </c>
      <c r="G41" t="inlineStr">
        <is>
          <t>DX5188</t>
        </is>
      </c>
      <c r="H41" t="inlineStr">
        <is>
          <t>DX5188 | RED VIOLET</t>
        </is>
      </c>
    </row>
    <row r="42">
      <c r="E42" t="inlineStr">
        <is>
          <t>P425-985</t>
        </is>
      </c>
      <c r="F42" t="inlineStr">
        <is>
          <t>P425-985 | HS Fine Aluminium</t>
        </is>
      </c>
      <c r="G42" t="inlineStr">
        <is>
          <t>DX5189</t>
        </is>
      </c>
      <c r="H42" t="inlineStr">
        <is>
          <t>DX5189 | DARK MAGENTA</t>
        </is>
      </c>
    </row>
    <row r="43">
      <c r="E43" t="inlineStr">
        <is>
          <t>P425-986</t>
        </is>
      </c>
      <c r="F43" t="inlineStr">
        <is>
          <t>P425-986 | HS Medium Aluminium</t>
        </is>
      </c>
      <c r="G43" t="inlineStr">
        <is>
          <t>DX5211</t>
        </is>
      </c>
      <c r="H43" t="inlineStr">
        <is>
          <t>DX5211 | Komponenty aluminiowe pod względem grubości ziarna</t>
        </is>
      </c>
    </row>
    <row r="44">
      <c r="E44" t="inlineStr">
        <is>
          <t>P425-987</t>
        </is>
      </c>
      <c r="F44" t="inlineStr">
        <is>
          <t>P425-987 | Medium Coarse Aluminium</t>
        </is>
      </c>
      <c r="G44" t="inlineStr">
        <is>
          <t>DX5212</t>
        </is>
      </c>
      <c r="H44" t="inlineStr">
        <is>
          <t>DX5212 | COARSE SILVER</t>
        </is>
      </c>
    </row>
    <row r="45">
      <c r="E45" t="inlineStr">
        <is>
          <t>P425-988</t>
        </is>
      </c>
      <c r="F45" t="inlineStr">
        <is>
          <t>P425-988 | HS Coarse Aluminium</t>
        </is>
      </c>
      <c r="G45" t="inlineStr">
        <is>
          <t>DX5213</t>
        </is>
      </c>
      <c r="H45" t="inlineStr">
        <is>
          <t>DX5213 | MEDIUM COARSE SILVER</t>
        </is>
      </c>
    </row>
    <row r="46">
      <c r="E46" t="inlineStr">
        <is>
          <t>P425-989</t>
        </is>
      </c>
      <c r="F46" t="inlineStr">
        <is>
          <t>P425-989 | HS Very Coarse Aluminium</t>
        </is>
      </c>
      <c r="G46" t="inlineStr">
        <is>
          <t>DX5214</t>
        </is>
      </c>
      <c r="H46" t="inlineStr">
        <is>
          <t>DX5214 | MEDIUM SILVER</t>
        </is>
      </c>
    </row>
    <row r="47">
      <c r="E47" t="inlineStr">
        <is>
          <t>P425-991</t>
        </is>
      </c>
      <c r="F47" t="inlineStr">
        <is>
          <t>P425-991 | Fine Satin Aluminium</t>
        </is>
      </c>
      <c r="G47" t="inlineStr">
        <is>
          <t>DX5215</t>
        </is>
      </c>
      <c r="H47" t="inlineStr">
        <is>
          <t>DX5215 | FINE SILVER</t>
        </is>
      </c>
    </row>
    <row r="48">
      <c r="E48" t="inlineStr">
        <is>
          <t>P425-992</t>
        </is>
      </c>
      <c r="F48" t="inlineStr">
        <is>
          <t>P425-992 | HS Shining Coarse Aluminium</t>
        </is>
      </c>
      <c r="G48" t="inlineStr">
        <is>
          <t>DX5216</t>
        </is>
      </c>
      <c r="H48" t="inlineStr">
        <is>
          <t>DX5216</t>
        </is>
      </c>
    </row>
    <row r="49">
      <c r="E49" t="inlineStr">
        <is>
          <t>P425-998</t>
        </is>
      </c>
      <c r="F49" t="inlineStr">
        <is>
          <t>P425-998 | HS Coarse Silver Dollar Aluminium</t>
        </is>
      </c>
      <c r="G49" t="inlineStr">
        <is>
          <t>DX5217</t>
        </is>
      </c>
      <c r="H49" t="inlineStr">
        <is>
          <t>DX5217 | EXTRA FINE SILVER</t>
        </is>
      </c>
    </row>
    <row r="50">
      <c r="E50" t="inlineStr">
        <is>
          <t>P425-EB02</t>
        </is>
      </c>
      <c r="F50" t="inlineStr">
        <is>
          <t>P425-EB02 | KONWERTER BAZY DO KOMÓR SILNIKA</t>
        </is>
      </c>
      <c r="G50" t="inlineStr">
        <is>
          <t>DX5221</t>
        </is>
      </c>
      <c r="H50" t="inlineStr">
        <is>
          <t>DX5221 | COARSE BRIGHT SILVER</t>
        </is>
      </c>
    </row>
    <row r="51">
      <c r="E51" t="inlineStr">
        <is>
          <t>P426-HE02</t>
        </is>
      </c>
      <c r="F51" t="inlineStr">
        <is>
          <t>P426-HE02 | Blue Frost</t>
        </is>
      </c>
      <c r="G51" t="inlineStr">
        <is>
          <t>DX5223</t>
        </is>
      </c>
      <c r="H51" t="inlineStr">
        <is>
          <t>DX5223 | MEDIUM BRIGHT SILVER</t>
        </is>
      </c>
    </row>
    <row r="52">
      <c r="E52" t="inlineStr">
        <is>
          <t>P426-HE03</t>
        </is>
      </c>
      <c r="F52" t="inlineStr">
        <is>
          <t>P426-HE03 | Graphite Flake</t>
        </is>
      </c>
      <c r="G52" t="inlineStr">
        <is>
          <t>DX5224</t>
        </is>
      </c>
      <c r="H52" t="inlineStr">
        <is>
          <t>DX5224 | GOLD ALU</t>
        </is>
      </c>
    </row>
    <row r="53">
      <c r="E53" t="inlineStr">
        <is>
          <t>P426-HE04</t>
        </is>
      </c>
      <c r="F53" t="inlineStr">
        <is>
          <t>P426-HE04 | Gold Flash</t>
        </is>
      </c>
      <c r="G53" t="inlineStr">
        <is>
          <t>DX5225</t>
        </is>
      </c>
      <c r="H53" t="inlineStr">
        <is>
          <t>DX5225 | ORANGE ALU</t>
        </is>
      </c>
    </row>
    <row r="54">
      <c r="E54" t="inlineStr">
        <is>
          <t>P426-HE05</t>
        </is>
      </c>
      <c r="F54" t="inlineStr">
        <is>
          <t>P426-HE05 | Orange Flash</t>
        </is>
      </c>
      <c r="G54" t="inlineStr">
        <is>
          <t>DX5226</t>
        </is>
      </c>
      <c r="H54" t="inlineStr">
        <is>
          <t>DX5226 | FINE EXTRA BRIGHT ALU</t>
        </is>
      </c>
    </row>
    <row r="55">
      <c r="E55" t="inlineStr">
        <is>
          <t>P426-HE08</t>
        </is>
      </c>
      <c r="F55" t="inlineStr">
        <is>
          <t>P426-HE08 | BLUE ALUMINIUM</t>
        </is>
      </c>
      <c r="G55" t="inlineStr">
        <is>
          <t>DX5227</t>
        </is>
      </c>
      <c r="H55" t="inlineStr">
        <is>
          <t>DX5227 | MEDIUM FINE BRIGHT ALU</t>
        </is>
      </c>
    </row>
    <row r="56">
      <c r="E56" t="inlineStr">
        <is>
          <t>P426-PP05</t>
        </is>
      </c>
      <c r="F56" t="inlineStr">
        <is>
          <t>P426-PP05 | White Pearl</t>
        </is>
      </c>
      <c r="G56" t="inlineStr">
        <is>
          <t>DX5231</t>
        </is>
      </c>
      <c r="H56" t="inlineStr">
        <is>
          <t>DX5231 | SILVER PEARL</t>
        </is>
      </c>
    </row>
    <row r="57">
      <c r="E57" t="inlineStr">
        <is>
          <t>P426-PP06</t>
        </is>
      </c>
      <c r="F57" t="inlineStr">
        <is>
          <t>P426-PP06 | Fine White Pearl</t>
        </is>
      </c>
      <c r="G57" t="inlineStr">
        <is>
          <t>DX5232</t>
        </is>
      </c>
      <c r="H57" t="inlineStr">
        <is>
          <t>DX5232 | FINE SILVER PEARL</t>
        </is>
      </c>
    </row>
    <row r="58">
      <c r="E58" t="inlineStr">
        <is>
          <t>P426-PP07</t>
        </is>
      </c>
      <c r="F58" t="inlineStr">
        <is>
          <t>P426-PP07 | Blue Pearl</t>
        </is>
      </c>
      <c r="G58" t="inlineStr">
        <is>
          <t>DX5241</t>
        </is>
      </c>
      <c r="H58" t="inlineStr">
        <is>
          <t>DX5241 | RED PEARL</t>
        </is>
      </c>
    </row>
    <row r="59">
      <c r="E59" t="inlineStr">
        <is>
          <t>P426-PP08</t>
        </is>
      </c>
      <c r="F59" t="inlineStr">
        <is>
          <t>P426-PP08 | Red Pearl</t>
        </is>
      </c>
      <c r="G59" t="inlineStr">
        <is>
          <t>DX5242</t>
        </is>
      </c>
      <c r="H59" t="inlineStr">
        <is>
          <t>DX5242 | FINE RED PEARL</t>
        </is>
      </c>
    </row>
    <row r="60">
      <c r="E60" t="inlineStr">
        <is>
          <t>P426-PP09</t>
        </is>
      </c>
      <c r="F60" t="inlineStr">
        <is>
          <t>P426-PP09 | Gold Pearl</t>
        </is>
      </c>
      <c r="G60" t="inlineStr">
        <is>
          <t>DX5243</t>
        </is>
      </c>
      <c r="H60" t="inlineStr">
        <is>
          <t>DX5243 | SUPER RED PEARL</t>
        </is>
      </c>
    </row>
    <row r="61">
      <c r="E61" t="inlineStr">
        <is>
          <t>P426-PP10</t>
        </is>
      </c>
      <c r="F61" t="inlineStr">
        <is>
          <t>P426-PP10 | Copper Pearl</t>
        </is>
      </c>
      <c r="G61" t="inlineStr">
        <is>
          <t>DX5244</t>
        </is>
      </c>
      <c r="H61" t="inlineStr">
        <is>
          <t>DX5244 | RED BROWN PEARL</t>
        </is>
      </c>
    </row>
    <row r="62">
      <c r="E62" t="inlineStr">
        <is>
          <t>P426-PP60</t>
        </is>
      </c>
      <c r="F62" t="inlineStr">
        <is>
          <t>P426-PP60 | White Satin Pearl</t>
        </is>
      </c>
      <c r="G62" t="inlineStr">
        <is>
          <t>DX5251</t>
        </is>
      </c>
      <c r="H62" t="inlineStr">
        <is>
          <t>DX5251 | BLUE PEARL</t>
        </is>
      </c>
    </row>
    <row r="63">
      <c r="E63" t="inlineStr">
        <is>
          <t>P426-PP61</t>
        </is>
      </c>
      <c r="F63" t="inlineStr">
        <is>
          <t>P426-PP61 | Fine Red Pearl</t>
        </is>
      </c>
      <c r="G63" t="inlineStr">
        <is>
          <t>DX5261</t>
        </is>
      </c>
      <c r="H63" t="inlineStr">
        <is>
          <t>DX5261 | GREEN PEARL</t>
        </is>
      </c>
    </row>
    <row r="64">
      <c r="E64" t="inlineStr">
        <is>
          <t>P426-PP62</t>
        </is>
      </c>
      <c r="F64" t="inlineStr">
        <is>
          <t>P426-PP62 | Fine Russet Pearl</t>
        </is>
      </c>
      <c r="G64" t="inlineStr">
        <is>
          <t>DX5271</t>
        </is>
      </c>
      <c r="H64" t="inlineStr">
        <is>
          <t>DX5271 | GOLD PEARL</t>
        </is>
      </c>
    </row>
    <row r="65">
      <c r="E65" t="inlineStr">
        <is>
          <t>P426-PP63</t>
        </is>
      </c>
      <c r="F65" t="inlineStr">
        <is>
          <t>P426-PP63 | Fine Blue Pearl</t>
        </is>
      </c>
      <c r="G65" t="inlineStr">
        <is>
          <t>DX5281</t>
        </is>
      </c>
      <c r="H65" t="inlineStr">
        <is>
          <t>DX5281 | LILAC PEARL</t>
        </is>
      </c>
    </row>
    <row r="66">
      <c r="E66" t="inlineStr">
        <is>
          <t>P426-PP64</t>
        </is>
      </c>
      <c r="F66" t="inlineStr">
        <is>
          <t>P426-PP64 | Medium Violet Pearl</t>
        </is>
      </c>
      <c r="G66" t="inlineStr">
        <is>
          <t>DX5299</t>
        </is>
      </c>
      <c r="H66" t="inlineStr">
        <is>
          <t>DX5299 | UNISILVER</t>
        </is>
      </c>
    </row>
    <row r="67">
      <c r="E67" t="inlineStr">
        <is>
          <t>P426-PP65</t>
        </is>
      </c>
      <c r="F67" t="inlineStr">
        <is>
          <t>P426-PP65 | Medium Green Pearl</t>
        </is>
      </c>
      <c r="G67" t="inlineStr">
        <is>
          <t>DX5300</t>
        </is>
      </c>
      <c r="H67" t="inlineStr">
        <is>
          <t>DX5300 | WHITE CRYSTAL</t>
        </is>
      </c>
    </row>
    <row r="68">
      <c r="E68" t="inlineStr">
        <is>
          <t>P426-PP68</t>
        </is>
      </c>
      <c r="F68" t="inlineStr">
        <is>
          <t>P426-PP68 | Orange Pearl</t>
        </is>
      </c>
      <c r="G68" t="inlineStr">
        <is>
          <t>DX5301</t>
        </is>
      </c>
      <c r="H68" t="inlineStr">
        <is>
          <t>DX5301 | RED CRYSTAL</t>
        </is>
      </c>
    </row>
    <row r="69">
      <c r="E69" t="inlineStr">
        <is>
          <t>P429-914</t>
        </is>
      </c>
      <c r="F69" t="inlineStr">
        <is>
          <t>P429-914 | HS CLEAN BLUE VIOLET</t>
        </is>
      </c>
      <c r="G69" t="inlineStr">
        <is>
          <t>DX5302</t>
        </is>
      </c>
      <c r="H69" t="inlineStr">
        <is>
          <t>DX5302 | BLUE CRYSTAL</t>
        </is>
      </c>
    </row>
    <row r="70">
      <c r="E70" t="inlineStr">
        <is>
          <t>P429-917</t>
        </is>
      </c>
      <c r="F70" t="inlineStr">
        <is>
          <t>P429-917 | HS GREEN GOLD</t>
        </is>
      </c>
      <c r="G70" t="inlineStr">
        <is>
          <t>DX5303</t>
        </is>
      </c>
      <c r="H70" t="inlineStr">
        <is>
          <t>DX5303 | GREEN CRYSTAL</t>
        </is>
      </c>
    </row>
    <row r="71">
      <c r="E71" t="inlineStr">
        <is>
          <t>P429-923</t>
        </is>
      </c>
      <c r="F71" t="inlineStr">
        <is>
          <t>P429-923 | HS Bright Maroon</t>
        </is>
      </c>
      <c r="G71" t="inlineStr">
        <is>
          <t>DX5304</t>
        </is>
      </c>
      <c r="H71" t="inlineStr">
        <is>
          <t>DX5304 | GOLD CRYSTAL</t>
        </is>
      </c>
    </row>
    <row r="72">
      <c r="E72" t="inlineStr">
        <is>
          <t>P429-932</t>
        </is>
      </c>
      <c r="F72" t="inlineStr">
        <is>
          <t>P429-932 | HS CLEAN ORGANIC ORANGE</t>
        </is>
      </c>
      <c r="G72" t="inlineStr">
        <is>
          <t>DX5305</t>
        </is>
      </c>
      <c r="H72" t="inlineStr">
        <is>
          <t>DX5305 | COPPER CRYSTAL</t>
        </is>
      </c>
    </row>
    <row r="73">
      <c r="E73" t="inlineStr">
        <is>
          <t>P429-937</t>
        </is>
      </c>
      <c r="F73" t="inlineStr">
        <is>
          <t>P429-937 | HS Pale Yellow</t>
        </is>
      </c>
      <c r="G73" t="inlineStr">
        <is>
          <t>DX0112</t>
        </is>
      </c>
      <c r="H73" t="inlineStr">
        <is>
          <t>DX0112 | BLACK (KOMPONENT O MAŁEJ SILE KRYCIA)</t>
        </is>
      </c>
    </row>
    <row r="74">
      <c r="E74" t="inlineStr">
        <is>
          <t>P429-961</t>
        </is>
      </c>
      <c r="F74" t="inlineStr">
        <is>
          <t>P429-961 | HS Clean Magenta</t>
        </is>
      </c>
      <c r="G74" t="inlineStr">
        <is>
          <t>DX0124</t>
        </is>
      </c>
      <c r="H74" t="inlineStr">
        <is>
          <t>DX0124 | BROWN RED (PIGMENT O MAŁEJ SILE KRYCIA)</t>
        </is>
      </c>
    </row>
    <row r="75">
      <c r="E75" t="inlineStr">
        <is>
          <t>P429-967</t>
        </is>
      </c>
      <c r="F75" t="inlineStr">
        <is>
          <t>P429-967 | HS Deep Angle Black</t>
        </is>
      </c>
      <c r="G75" t="inlineStr">
        <is>
          <t>DX0132</t>
        </is>
      </c>
      <c r="H75" t="inlineStr">
        <is>
          <t>DX0132 | WHITE (KOMPONENT O MAŁEJ SILE KRYCIA)</t>
        </is>
      </c>
    </row>
    <row r="76">
      <c r="E76" t="inlineStr">
        <is>
          <t>P429-972</t>
        </is>
      </c>
      <c r="F76" t="inlineStr">
        <is>
          <t>P429-972 | HS Bright Amber</t>
        </is>
      </c>
      <c r="G76" t="inlineStr">
        <is>
          <t>DX11</t>
        </is>
      </c>
      <c r="H76" t="inlineStr">
        <is>
          <t>DX11</t>
        </is>
      </c>
    </row>
    <row r="77">
      <c r="E77" t="inlineStr">
        <is>
          <t>P429-973</t>
        </is>
      </c>
      <c r="F77" t="inlineStr">
        <is>
          <t>P429-973 | HS Bright Orange</t>
        </is>
      </c>
      <c r="G77" t="inlineStr">
        <is>
          <t>AXT100</t>
        </is>
      </c>
      <c r="H77" t="inlineStr">
        <is>
          <t>AXT100</t>
        </is>
      </c>
    </row>
    <row r="78">
      <c r="E78" t="inlineStr">
        <is>
          <t>P429-976</t>
        </is>
      </c>
      <c r="F78" t="inlineStr">
        <is>
          <t>P429-976 | HS Red Violet</t>
        </is>
      </c>
      <c r="G78" t="inlineStr">
        <is>
          <t>AXT101</t>
        </is>
      </c>
      <c r="H78" t="inlineStr">
        <is>
          <t>AXT101</t>
        </is>
      </c>
    </row>
    <row r="79">
      <c r="E79" t="inlineStr">
        <is>
          <t>P429-980</t>
        </is>
      </c>
      <c r="F79" t="inlineStr">
        <is>
          <t>P429-980 | HS Speed Red</t>
        </is>
      </c>
      <c r="G79" t="inlineStr">
        <is>
          <t>AXT102</t>
        </is>
      </c>
      <c r="H79" t="inlineStr">
        <is>
          <t>AXT102</t>
        </is>
      </c>
    </row>
    <row r="80">
      <c r="E80" t="inlineStr">
        <is>
          <t>P429-981</t>
        </is>
      </c>
      <c r="F80" t="inlineStr">
        <is>
          <t>P429-981 | Transparent Gold</t>
        </is>
      </c>
      <c r="G80" t="inlineStr">
        <is>
          <t>AXT103</t>
        </is>
      </c>
      <c r="H80" t="inlineStr">
        <is>
          <t>AXT103</t>
        </is>
      </c>
    </row>
    <row r="81">
      <c r="E81" t="inlineStr">
        <is>
          <t>P433-XR10</t>
        </is>
      </c>
      <c r="F81" t="inlineStr">
        <is>
          <t>P433-XR10 | Crystal Silver</t>
        </is>
      </c>
      <c r="G81" t="inlineStr">
        <is>
          <t>AXT104</t>
        </is>
      </c>
      <c r="H81" t="inlineStr">
        <is>
          <t>AXT104</t>
        </is>
      </c>
    </row>
    <row r="82">
      <c r="E82" t="inlineStr">
        <is>
          <t>P433-XR11</t>
        </is>
      </c>
      <c r="F82" t="inlineStr">
        <is>
          <t>P433-XR11 | Sunbeam Gold</t>
        </is>
      </c>
      <c r="G82" t="inlineStr">
        <is>
          <t>AXT105</t>
        </is>
      </c>
      <c r="H82" t="inlineStr">
        <is>
          <t>AXT105</t>
        </is>
      </c>
    </row>
    <row r="83">
      <c r="E83" t="inlineStr">
        <is>
          <t>P433-XR12</t>
        </is>
      </c>
      <c r="F83" t="inlineStr">
        <is>
          <t>P433-XR12 | Radiant Red</t>
        </is>
      </c>
      <c r="G83" t="inlineStr">
        <is>
          <t>AXT106</t>
        </is>
      </c>
      <c r="H83" t="inlineStr">
        <is>
          <t>AXT106</t>
        </is>
      </c>
    </row>
    <row r="84">
      <c r="E84" t="inlineStr">
        <is>
          <t>P433-XR13</t>
        </is>
      </c>
      <c r="F84" t="inlineStr">
        <is>
          <t>P433-XR13 | Galaxy Blue</t>
        </is>
      </c>
      <c r="G84" t="inlineStr">
        <is>
          <t>AXT107</t>
        </is>
      </c>
      <c r="H84" t="inlineStr">
        <is>
          <t>AXT107</t>
        </is>
      </c>
    </row>
    <row r="85">
      <c r="E85" t="inlineStr">
        <is>
          <t>P433-XR14</t>
        </is>
      </c>
      <c r="F85" t="inlineStr">
        <is>
          <t>P433-XR14 | Stellar Green</t>
        </is>
      </c>
      <c r="G85" t="inlineStr">
        <is>
          <t>AXT108</t>
        </is>
      </c>
      <c r="H85" t="inlineStr">
        <is>
          <t>AXT108</t>
        </is>
      </c>
    </row>
    <row r="86">
      <c r="E86" t="inlineStr">
        <is>
          <t>P433-XR15</t>
        </is>
      </c>
      <c r="F86" t="inlineStr">
        <is>
          <t>P433-XR15 | Solaris Red</t>
        </is>
      </c>
      <c r="G86" t="inlineStr">
        <is>
          <t>AXT109</t>
        </is>
      </c>
      <c r="H86" t="inlineStr">
        <is>
          <t>AXT109</t>
        </is>
      </c>
    </row>
    <row r="87">
      <c r="E87" t="inlineStr">
        <is>
          <t>P433-XR16</t>
        </is>
      </c>
      <c r="F87" t="inlineStr">
        <is>
          <t>P433-XR16 | Fireside Copper</t>
        </is>
      </c>
      <c r="G87" t="inlineStr">
        <is>
          <t>AXT110</t>
        </is>
      </c>
      <c r="H87" t="inlineStr">
        <is>
          <t>AXT110</t>
        </is>
      </c>
    </row>
    <row r="88">
      <c r="E88" t="inlineStr">
        <is>
          <t>P433-XR17</t>
        </is>
      </c>
      <c r="F88" t="inlineStr">
        <is>
          <t>P433-XR17 | Cosmic Turquoise</t>
        </is>
      </c>
    </row>
    <row r="89">
      <c r="E89" t="inlineStr">
        <is>
          <t>P433-XR18</t>
        </is>
      </c>
      <c r="F89" t="inlineStr">
        <is>
          <t>P433-XR18 | Amethyst Dream</t>
        </is>
      </c>
    </row>
    <row r="90">
      <c r="E90" t="inlineStr">
        <is>
          <t>P434-CS32</t>
        </is>
      </c>
      <c r="F90" t="inlineStr">
        <is>
          <t>P434-CS32 | Viola Fantasy</t>
        </is>
      </c>
    </row>
    <row r="91">
      <c r="E91" t="inlineStr">
        <is>
          <t>P434-CS33</t>
        </is>
      </c>
      <c r="F91" t="inlineStr">
        <is>
          <t>P434-CS33 | Arctic Fire</t>
        </is>
      </c>
    </row>
    <row r="92">
      <c r="E92" t="inlineStr">
        <is>
          <t>P434-CS34</t>
        </is>
      </c>
      <c r="F92" t="inlineStr">
        <is>
          <t>P434-CS34 | Tropic Sunrise</t>
        </is>
      </c>
    </row>
    <row r="93">
      <c r="E93" t="inlineStr">
        <is>
          <t>P434-CS35</t>
        </is>
      </c>
      <c r="F93" t="inlineStr">
        <is>
          <t>P434-CS35 | Lapis Sunlight</t>
        </is>
      </c>
    </row>
    <row r="94">
      <c r="E94" t="inlineStr">
        <is>
          <t>P435-GF37</t>
        </is>
      </c>
      <c r="F94" t="inlineStr">
        <is>
          <t>P435-GF37 | Silver Glass</t>
        </is>
      </c>
    </row>
    <row r="95">
      <c r="E95" t="inlineStr">
        <is>
          <t>P440-FX20</t>
        </is>
      </c>
      <c r="F95" t="inlineStr">
        <is>
          <t>P440-FX20 | CHROMAFLAIR CYAN TO PURPLE</t>
        </is>
      </c>
    </row>
    <row r="96">
      <c r="E96" t="inlineStr">
        <is>
          <t>P440-FX21</t>
        </is>
      </c>
      <c r="F96" t="inlineStr">
        <is>
          <t>P440-FX21 | CHROMAFLAIR SILVER TO GREEN</t>
        </is>
      </c>
    </row>
    <row r="97">
      <c r="E97" t="inlineStr">
        <is>
          <t>P440-FX22</t>
        </is>
      </c>
      <c r="F97" t="inlineStr">
        <is>
          <t>P440-FX22 | CHROMAFLAIR GREEN TO PURPLE</t>
        </is>
      </c>
    </row>
    <row r="98">
      <c r="E98" t="inlineStr">
        <is>
          <t>P440-FX23</t>
        </is>
      </c>
      <c r="F98" t="inlineStr">
        <is>
          <t>P440-FX23 | CHROMAFLAIR BLUE TO RED</t>
        </is>
      </c>
    </row>
    <row r="99">
      <c r="E99" t="inlineStr">
        <is>
          <t>P440-FX24</t>
        </is>
      </c>
      <c r="F99" t="inlineStr">
        <is>
          <t>P440-FX24 | CHROMAFLAIR MAGENTA TO GOLD</t>
        </is>
      </c>
    </row>
    <row r="100">
      <c r="E100" t="inlineStr">
        <is>
          <t>P440-FX25</t>
        </is>
      </c>
      <c r="F100" t="inlineStr">
        <is>
          <t>P440-FX25 | CHROMAFLAIR GOLD TO SILVER</t>
        </is>
      </c>
    </row>
    <row r="101">
      <c r="E101" t="inlineStr">
        <is>
          <t>P440-FX26</t>
        </is>
      </c>
      <c r="F101" t="inlineStr">
        <is>
          <t>P440-FX26 | CHROMAFLAIR RED TO GOLD</t>
        </is>
      </c>
    </row>
    <row r="102">
      <c r="E102" t="inlineStr">
        <is>
          <t>P440-FX51</t>
        </is>
      </c>
      <c r="F102" t="inlineStr">
        <is>
          <t>P440-FX51 | Silver Flair</t>
        </is>
      </c>
    </row>
    <row r="103">
      <c r="E103" t="inlineStr">
        <is>
          <t>P440-LM01</t>
        </is>
      </c>
      <c r="F103" t="inlineStr">
        <is>
          <t>P440-LM01 | LIQUID METAL SUPER FINE</t>
        </is>
      </c>
    </row>
    <row r="104">
      <c r="E104" t="inlineStr">
        <is>
          <t>P450-EC50</t>
        </is>
      </c>
      <c r="F104" t="inlineStr">
        <is>
          <t>P450-EC50 | BRILLIANT RED</t>
        </is>
      </c>
    </row>
    <row r="105">
      <c r="E105" t="inlineStr">
        <is>
          <t>P420-982</t>
        </is>
      </c>
      <c r="F105" t="inlineStr">
        <is>
          <t>P420-982 | Trans Oxide Yellow</t>
        </is>
      </c>
    </row>
    <row r="106">
      <c r="E106" t="inlineStr">
        <is>
          <t>VM4370</t>
        </is>
      </c>
      <c r="F106" t="inlineStr">
        <is>
          <t>VM4370 | Super Fine Liquid Metal</t>
        </is>
      </c>
    </row>
    <row r="107">
      <c r="E107" t="inlineStr">
        <is>
          <t>P426-HE07</t>
        </is>
      </c>
      <c r="F107" t="inlineStr">
        <is>
          <t>P426-HE07 | Blue Flash</t>
        </is>
      </c>
    </row>
    <row r="108">
      <c r="E108" t="inlineStr">
        <is>
          <t>P434-CS31</t>
        </is>
      </c>
      <c r="F108" t="inlineStr">
        <is>
          <t>P434-CS31 | Autumn Mystery</t>
        </is>
      </c>
    </row>
    <row r="109">
      <c r="E109" t="inlineStr">
        <is>
          <t>VM4987</t>
        </is>
      </c>
      <c r="F109" t="inlineStr">
        <is>
          <t>VM4987 | Cyan to Purple</t>
        </is>
      </c>
    </row>
    <row r="110">
      <c r="E110" t="inlineStr">
        <is>
          <t>VM4988</t>
        </is>
      </c>
      <c r="F110" t="inlineStr">
        <is>
          <t>VM4988 | Silver to Green</t>
        </is>
      </c>
    </row>
    <row r="111">
      <c r="E111" t="inlineStr">
        <is>
          <t>VM4989</t>
        </is>
      </c>
      <c r="F111" t="inlineStr">
        <is>
          <t>VM4989 | Green to Purple</t>
        </is>
      </c>
    </row>
    <row r="112">
      <c r="E112" t="inlineStr">
        <is>
          <t>VM4990</t>
        </is>
      </c>
      <c r="F112" t="inlineStr">
        <is>
          <t>VM4990 | Blue to Red</t>
        </is>
      </c>
    </row>
    <row r="113">
      <c r="E113" t="inlineStr">
        <is>
          <t>VM4991</t>
        </is>
      </c>
      <c r="F113" t="inlineStr">
        <is>
          <t>VM4991 | Magenta to Gold</t>
        </is>
      </c>
    </row>
    <row r="114">
      <c r="E114" t="inlineStr">
        <is>
          <t>VM4994</t>
        </is>
      </c>
      <c r="F114" t="inlineStr">
        <is>
          <t>VM4994 | Gold to Silver</t>
        </is>
      </c>
    </row>
    <row r="115">
      <c r="E115" t="inlineStr">
        <is>
          <t>VM4995</t>
        </is>
      </c>
      <c r="F115" t="inlineStr">
        <is>
          <t>VM4995 | Red to Gold</t>
        </is>
      </c>
    </row>
  </sheetData>
  <mergeCells count="2">
    <mergeCell ref="A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SD Autos — system receptur</dc:creator>
  <dc:title xmlns:dc="http://purl.org/dc/elements/1.1/">System receptur lakierów AUTOCOLOR / DUXONE</dc:title>
  <dcterms:created xmlns:dcterms="http://purl.org/dc/terms/" xmlns:xsi="http://www.w3.org/2001/XMLSchema-instance" xsi:type="dcterms:W3CDTF">2026-09-09T10:07:34Z</dcterms:created>
  <dcterms:modified xmlns:dcterms="http://purl.org/dc/terms/" xmlns:xsi="http://www.w3.org/2001/XMLSchema-instance" xsi:type="dcterms:W3CDTF">2026-09-09T10:07:40Z</dcterms:modified>
</cp:coreProperties>
</file>